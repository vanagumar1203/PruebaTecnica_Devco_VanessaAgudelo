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trlProps/ctrlProp6.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activeX/activeX2.xml" ContentType="application/vnd.ms-office.activeX+xml"/>
  <Override PartName="/xl/activeX/activeX2.bin" ContentType="application/vnd.ms-office.activeX"/>
  <Override PartName="/xl/comments10.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vagudelo\OneDrive - GCO (1)\Documentos\Vanessa\prueba tecnica DEVCO\"/>
    </mc:Choice>
  </mc:AlternateContent>
  <bookViews>
    <workbookView xWindow="-120" yWindow="-120" windowWidth="20610" windowHeight="8715" tabRatio="853" firstSheet="5" activeTab="12"/>
  </bookViews>
  <sheets>
    <sheet name="Riesgos y PD" sheetId="10" r:id="rId1"/>
    <sheet name="Tiempos Planeados" sheetId="8" r:id="rId2"/>
    <sheet name="Riesgos" sheetId="17" state="hidden" r:id="rId3"/>
    <sheet name="Listas" sheetId="7" state="hidden" r:id="rId4"/>
    <sheet name="Resumen Planeación" sheetId="9" r:id="rId5"/>
    <sheet name="Info General" sheetId="6" r:id="rId6"/>
    <sheet name="Casos de prueba" sheetId="3" r:id="rId7"/>
    <sheet name="Resumen C.P." sheetId="15" r:id="rId8"/>
    <sheet name="Incidentes" sheetId="11" r:id="rId9"/>
    <sheet name="Tiempos Ejecutados" sheetId="14" r:id="rId10"/>
    <sheet name="Desfases" sheetId="12" r:id="rId11"/>
    <sheet name="Reporte Seguimiento" sheetId="5" r:id="rId12"/>
    <sheet name="Certificación" sheetId="13" r:id="rId13"/>
  </sheets>
  <functionGroups builtInGroupCount="18"/>
  <definedNames>
    <definedName name="_xlnm._FilterDatabase" localSheetId="6" hidden="1">'Casos de prueba'!$C$7:$DH$7</definedName>
    <definedName name="_xlnm._FilterDatabase" localSheetId="11" hidden="1">'Reporte Seguimiento'!$C$36:$BA$38</definedName>
    <definedName name="_xlnm._FilterDatabase" localSheetId="4" hidden="1">'Resumen Planeación'!$C$20:$U$20</definedName>
    <definedName name="_xlnm._FilterDatabase" localSheetId="9" hidden="1">'Tiempos Ejecutados'!$C$28:$V$28</definedName>
    <definedName name="_xlnm.Print_Area" localSheetId="12">Certificación!$C$1:$BA$69</definedName>
    <definedName name="_xlnm.Print_Area" localSheetId="11">'Reporte Seguimiento'!$C$1:$BB$85</definedName>
    <definedName name="_xlnm.Print_Area" localSheetId="4">'Resumen Planeación'!$C$1:$BA$45</definedName>
    <definedName name="_xlnm.Print_Titles" localSheetId="11">'Reporte Seguimiento'!$5:$5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R22" i="3" l="1"/>
  <c r="I22" i="3"/>
  <c r="CR21" i="3"/>
  <c r="I21" i="3"/>
  <c r="CR20" i="3"/>
  <c r="I20" i="3"/>
  <c r="CR19" i="3"/>
  <c r="I19" i="3"/>
  <c r="CR18" i="3"/>
  <c r="I18" i="3"/>
  <c r="CR17" i="3"/>
  <c r="I17" i="3"/>
  <c r="CR16" i="3"/>
  <c r="I16" i="3"/>
  <c r="CR15" i="3"/>
  <c r="I15" i="3"/>
  <c r="CR14" i="3"/>
  <c r="I14" i="3"/>
  <c r="F10" i="12"/>
  <c r="F9" i="12"/>
  <c r="F8" i="12"/>
  <c r="AQ15" i="10"/>
  <c r="AV15" i="10" s="1"/>
  <c r="AB15" i="10"/>
  <c r="AQ14" i="10"/>
  <c r="AV14" i="10" s="1"/>
  <c r="AB14" i="10"/>
  <c r="AQ13" i="10"/>
  <c r="AV13" i="10" s="1"/>
  <c r="AB13" i="10"/>
  <c r="AQ12" i="10"/>
  <c r="AB12" i="10"/>
  <c r="F15" i="10"/>
  <c r="F14" i="10"/>
  <c r="F13" i="10"/>
  <c r="F12" i="10"/>
  <c r="CR13" i="3"/>
  <c r="I13" i="3"/>
  <c r="CR12" i="3"/>
  <c r="I12" i="3"/>
  <c r="CR11" i="3"/>
  <c r="I11" i="3"/>
  <c r="CR10" i="3"/>
  <c r="I10" i="3"/>
  <c r="CR9" i="3"/>
  <c r="I9" i="3"/>
  <c r="AQ11" i="10"/>
  <c r="AV11" i="10" s="1"/>
  <c r="AQ10" i="10"/>
  <c r="AV10" i="10" s="1"/>
  <c r="AB11" i="10"/>
  <c r="F11" i="10"/>
  <c r="AB10" i="10"/>
  <c r="F10" i="10"/>
  <c r="AV12" i="10" l="1"/>
  <c r="AV9" i="10" l="1"/>
  <c r="AQ9" i="10"/>
  <c r="AB9" i="10"/>
  <c r="F9" i="10"/>
  <c r="F39" i="13" l="1"/>
  <c r="C39" i="13"/>
  <c r="F49" i="13"/>
  <c r="C49" i="13"/>
  <c r="F30" i="5"/>
  <c r="C30" i="5"/>
  <c r="BC30" i="5" s="1"/>
  <c r="AU30" i="5" s="1"/>
  <c r="AD41" i="5"/>
  <c r="X41" i="5"/>
  <c r="R41" i="5"/>
  <c r="I41" i="5"/>
  <c r="C41" i="5"/>
  <c r="AE10" i="14"/>
  <c r="AB10" i="14"/>
  <c r="Y10" i="14"/>
  <c r="V10" i="14"/>
  <c r="F10" i="14"/>
  <c r="C10" i="14"/>
  <c r="BI10" i="14" s="1"/>
  <c r="AL30" i="5" s="1"/>
  <c r="C9" i="11"/>
  <c r="C9" i="15"/>
  <c r="BJ9" i="15" s="1"/>
  <c r="AB24" i="9"/>
  <c r="F24" i="9"/>
  <c r="C24" i="9"/>
  <c r="F10" i="8"/>
  <c r="C10" i="8"/>
  <c r="BJ10" i="8" s="1"/>
  <c r="AN24" i="9" s="1"/>
  <c r="AX30" i="5" l="1"/>
  <c r="AZ10" i="14"/>
  <c r="BF10" i="14"/>
  <c r="AI30" i="5" s="1"/>
  <c r="BC10" i="14"/>
  <c r="AF30" i="5" s="1"/>
  <c r="BL9" i="15"/>
  <c r="BA9" i="15" s="1"/>
  <c r="BH9" i="15"/>
  <c r="F9" i="15" s="1"/>
  <c r="BI9" i="15"/>
  <c r="O9" i="15" s="1"/>
  <c r="BK10" i="8"/>
  <c r="F38" i="13"/>
  <c r="C38" i="13"/>
  <c r="F48" i="13"/>
  <c r="C48" i="13"/>
  <c r="F29" i="5"/>
  <c r="C29" i="5"/>
  <c r="BC29" i="5" s="1"/>
  <c r="AU29" i="5" s="1"/>
  <c r="AD40" i="5"/>
  <c r="X40" i="5"/>
  <c r="R40" i="5"/>
  <c r="I40" i="5"/>
  <c r="C40" i="5"/>
  <c r="AE9" i="14"/>
  <c r="AB9" i="14"/>
  <c r="Y9" i="14"/>
  <c r="V9" i="14"/>
  <c r="F9" i="14"/>
  <c r="C9" i="14"/>
  <c r="BI9" i="14" s="1"/>
  <c r="AL29" i="5" s="1"/>
  <c r="C8" i="11"/>
  <c r="C8" i="15"/>
  <c r="BJ8" i="15" s="1"/>
  <c r="AB23" i="9"/>
  <c r="F23" i="9"/>
  <c r="C23" i="9"/>
  <c r="F9" i="8"/>
  <c r="C9" i="8"/>
  <c r="BK9" i="8" s="1"/>
  <c r="F37" i="13"/>
  <c r="C37" i="13"/>
  <c r="F47" i="13"/>
  <c r="C47" i="13"/>
  <c r="F28" i="5"/>
  <c r="C28" i="5"/>
  <c r="BC28" i="5" s="1"/>
  <c r="AU28" i="5" s="1"/>
  <c r="AD39" i="5"/>
  <c r="X39" i="5"/>
  <c r="R39" i="5"/>
  <c r="I39" i="5"/>
  <c r="C39" i="5"/>
  <c r="AE8" i="14"/>
  <c r="AB8" i="14"/>
  <c r="Y8" i="14"/>
  <c r="V8" i="14"/>
  <c r="F8" i="14"/>
  <c r="C8" i="14"/>
  <c r="BF8" i="14" s="1"/>
  <c r="AI28" i="5" s="1"/>
  <c r="C7" i="11"/>
  <c r="C7" i="15"/>
  <c r="BJ7" i="15" s="1"/>
  <c r="AB22" i="9"/>
  <c r="F22" i="9"/>
  <c r="C22" i="9"/>
  <c r="F8" i="8"/>
  <c r="C8" i="8"/>
  <c r="BK8" i="8" s="1"/>
  <c r="L9" i="15" l="1"/>
  <c r="L41" i="5" s="1"/>
  <c r="F41" i="5"/>
  <c r="AC30" i="5"/>
  <c r="AO30" i="5" s="1"/>
  <c r="U9" i="15"/>
  <c r="O41" i="5"/>
  <c r="AT10" i="8"/>
  <c r="AQ10" i="8"/>
  <c r="AN10" i="8"/>
  <c r="AK10" i="8"/>
  <c r="BH8" i="15"/>
  <c r="F8" i="15" s="1"/>
  <c r="AX29" i="5"/>
  <c r="AZ9" i="14"/>
  <c r="BC9" i="14"/>
  <c r="AF29" i="5" s="1"/>
  <c r="BF9" i="14"/>
  <c r="AI29" i="5" s="1"/>
  <c r="BL8" i="15"/>
  <c r="BA8" i="15" s="1"/>
  <c r="BI8" i="15"/>
  <c r="O8" i="15" s="1"/>
  <c r="AK9" i="8"/>
  <c r="AT9" i="8"/>
  <c r="AQ9" i="8"/>
  <c r="AN9" i="8"/>
  <c r="BJ9" i="8"/>
  <c r="AN23" i="9" s="1"/>
  <c r="BI8" i="14"/>
  <c r="AL28" i="5" s="1"/>
  <c r="AX28" i="5"/>
  <c r="AZ8" i="14"/>
  <c r="AC28" i="5" s="1"/>
  <c r="BC8" i="14"/>
  <c r="AF28" i="5" s="1"/>
  <c r="BL7" i="15"/>
  <c r="BA7" i="15" s="1"/>
  <c r="BI7" i="15"/>
  <c r="O7" i="15" s="1"/>
  <c r="BH7" i="15"/>
  <c r="F7" i="15" s="1"/>
  <c r="AN8" i="8"/>
  <c r="AK8" i="8"/>
  <c r="AT8" i="8"/>
  <c r="AQ8" i="8"/>
  <c r="BJ8" i="8"/>
  <c r="AN22" i="9" s="1"/>
  <c r="T30" i="5" l="1"/>
  <c r="AN10" i="14"/>
  <c r="W30" i="5"/>
  <c r="AQ10" i="14"/>
  <c r="AT10" i="14"/>
  <c r="Z30" i="5"/>
  <c r="AJ9" i="15"/>
  <c r="AJ41" i="5" s="1"/>
  <c r="AV9" i="15"/>
  <c r="AP41" i="5" s="1"/>
  <c r="BK9" i="15"/>
  <c r="AV41" i="5" s="1"/>
  <c r="U41" i="5"/>
  <c r="Q30" i="5"/>
  <c r="AK10" i="14"/>
  <c r="U8" i="15"/>
  <c r="O40" i="5"/>
  <c r="T29" i="5"/>
  <c r="AN9" i="14"/>
  <c r="W29" i="5"/>
  <c r="AQ9" i="14"/>
  <c r="AT9" i="14"/>
  <c r="Z29" i="5"/>
  <c r="AC29" i="5"/>
  <c r="AO29" i="5" s="1"/>
  <c r="Q29" i="5"/>
  <c r="AK9" i="14"/>
  <c r="L8" i="15"/>
  <c r="F40" i="5"/>
  <c r="AO28" i="5"/>
  <c r="W28" i="5"/>
  <c r="AQ8" i="14"/>
  <c r="U7" i="15"/>
  <c r="O39" i="5"/>
  <c r="Z28" i="5"/>
  <c r="AT8" i="14"/>
  <c r="Q28" i="5"/>
  <c r="AK8" i="14"/>
  <c r="T28" i="5"/>
  <c r="AN8" i="14"/>
  <c r="L7" i="15"/>
  <c r="L39" i="5" s="1"/>
  <c r="F39" i="5"/>
  <c r="AR30" i="5" l="1"/>
  <c r="AJ8" i="15"/>
  <c r="AJ40" i="5" s="1"/>
  <c r="AR29" i="5"/>
  <c r="AV7" i="15"/>
  <c r="AP39" i="5" s="1"/>
  <c r="BK8" i="15"/>
  <c r="AV40" i="5" s="1"/>
  <c r="U40" i="5"/>
  <c r="L40" i="5"/>
  <c r="AV8" i="15"/>
  <c r="AP40" i="5" s="1"/>
  <c r="AR28" i="5"/>
  <c r="AJ7" i="15"/>
  <c r="AJ39" i="5" s="1"/>
  <c r="BK7" i="15"/>
  <c r="AV39" i="5" s="1"/>
  <c r="U39" i="5"/>
  <c r="I38" i="5" l="1"/>
  <c r="AQ8" i="10"/>
  <c r="AB8" i="10"/>
  <c r="F7" i="12" l="1"/>
  <c r="CR8" i="3"/>
  <c r="R13" i="5" l="1"/>
  <c r="R12" i="9" l="1"/>
  <c r="R11" i="9"/>
  <c r="R10" i="9"/>
  <c r="R9" i="9"/>
  <c r="F8" i="10"/>
  <c r="AV8" i="10" l="1"/>
  <c r="R14" i="5" l="1"/>
  <c r="AZ12" i="8"/>
  <c r="R13" i="9" s="1"/>
  <c r="AT12" i="12"/>
  <c r="AR6" i="17" l="1"/>
  <c r="AD11" i="15" l="1"/>
  <c r="X11" i="15"/>
  <c r="R11" i="15"/>
  <c r="I11" i="15"/>
  <c r="AE12" i="8"/>
  <c r="AB12" i="8"/>
  <c r="Y12" i="8"/>
  <c r="V12" i="8"/>
  <c r="I8" i="3" l="1"/>
  <c r="R19" i="13" l="1"/>
  <c r="X38" i="5"/>
  <c r="AA29" i="9" l="1"/>
  <c r="X43" i="5" l="1"/>
  <c r="I43" i="5"/>
  <c r="C36" i="13" l="1"/>
  <c r="BL11" i="11" l="1"/>
  <c r="BP11" i="11"/>
  <c r="BT11" i="11"/>
  <c r="BH11" i="11"/>
  <c r="AT11" i="11"/>
  <c r="AX11" i="11"/>
  <c r="BB11" i="11"/>
  <c r="AP11" i="11"/>
  <c r="AF11" i="11"/>
  <c r="AJ11" i="11"/>
  <c r="I60" i="5" s="1"/>
  <c r="AB11" i="11"/>
  <c r="AF21" i="14" l="1"/>
  <c r="C6" i="15"/>
  <c r="F46" i="13" l="1"/>
  <c r="F36" i="13"/>
  <c r="F27" i="5"/>
  <c r="F7" i="14"/>
  <c r="C6" i="11"/>
  <c r="F21" i="9"/>
  <c r="V11" i="11"/>
  <c r="R11" i="11"/>
  <c r="N11" i="11"/>
  <c r="J11" i="11"/>
  <c r="F11" i="11"/>
  <c r="C46" i="13"/>
  <c r="C38" i="5"/>
  <c r="C27" i="5"/>
  <c r="C7" i="14"/>
  <c r="AP7" i="15" l="1"/>
  <c r="AP9" i="15"/>
  <c r="AP8" i="15"/>
  <c r="AA23" i="8"/>
  <c r="AA21" i="14" s="1"/>
  <c r="AA20" i="14"/>
  <c r="AA19" i="14"/>
  <c r="AA18" i="14"/>
  <c r="AA17" i="14"/>
  <c r="AA16" i="14"/>
  <c r="AA15" i="14"/>
  <c r="AA35" i="9" l="1"/>
  <c r="F7" i="8"/>
  <c r="C21" i="9"/>
  <c r="C7" i="8"/>
  <c r="AA34" i="9"/>
  <c r="AA33" i="9"/>
  <c r="AA32" i="9"/>
  <c r="AA31" i="9"/>
  <c r="AA30" i="9"/>
  <c r="V17" i="8" l="1"/>
  <c r="AF17" i="8" s="1"/>
  <c r="AF19" i="8" l="1"/>
  <c r="AF29" i="9"/>
  <c r="AF20" i="8"/>
  <c r="AF21" i="8"/>
  <c r="AF22" i="8"/>
  <c r="AF18" i="8"/>
  <c r="V15" i="14"/>
  <c r="AF18" i="14" l="1"/>
  <c r="AF19" i="14"/>
  <c r="AF17" i="14"/>
  <c r="AF15" i="14"/>
  <c r="AF16" i="14"/>
  <c r="AF20" i="14"/>
  <c r="V29" i="9"/>
  <c r="AU24" i="9" l="1"/>
  <c r="AU22" i="9"/>
  <c r="AU23" i="9"/>
  <c r="AF34" i="9"/>
  <c r="AF33" i="9"/>
  <c r="AF32" i="9"/>
  <c r="AF31" i="9"/>
  <c r="AF30" i="9"/>
  <c r="AF23" i="8"/>
  <c r="AH10" i="8" l="1"/>
  <c r="AW10" i="8"/>
  <c r="AH9" i="8"/>
  <c r="AW9" i="8"/>
  <c r="AH8" i="8"/>
  <c r="AW8" i="8"/>
  <c r="AH7" i="8"/>
  <c r="AF35" i="9"/>
  <c r="AW10" i="14" l="1"/>
  <c r="Y24" i="9"/>
  <c r="V24" i="9"/>
  <c r="AH10" i="14"/>
  <c r="AW9" i="14"/>
  <c r="Y23" i="9"/>
  <c r="AH9" i="14"/>
  <c r="V23" i="9"/>
  <c r="V22" i="9"/>
  <c r="AH8" i="14"/>
  <c r="AW8" i="14"/>
  <c r="Y22" i="9"/>
  <c r="AH12" i="8"/>
  <c r="V26" i="9" s="1"/>
  <c r="T71" i="5"/>
  <c r="T72" i="5"/>
  <c r="T73" i="5"/>
  <c r="T74" i="5"/>
  <c r="T75" i="5"/>
  <c r="T76" i="5"/>
  <c r="T77" i="5"/>
  <c r="T78" i="5"/>
  <c r="T79" i="5"/>
  <c r="T80" i="5"/>
  <c r="T81" i="5"/>
  <c r="T82" i="5"/>
  <c r="T70" i="5"/>
  <c r="AI50" i="5"/>
  <c r="AI52" i="5"/>
  <c r="F53" i="5"/>
  <c r="F52" i="5"/>
  <c r="F51" i="5"/>
  <c r="AI61" i="5"/>
  <c r="AI60" i="5"/>
  <c r="AI59" i="5"/>
  <c r="AI58" i="5"/>
  <c r="AI53" i="5"/>
  <c r="AI51" i="5"/>
  <c r="I59" i="5"/>
  <c r="I58" i="5"/>
  <c r="F54" i="5"/>
  <c r="AH54" i="5" l="1"/>
  <c r="AH50" i="5" s="1"/>
  <c r="S50" i="5"/>
  <c r="AH62" i="5"/>
  <c r="H61" i="5"/>
  <c r="H60" i="5" s="1"/>
  <c r="AH52" i="5" l="1"/>
  <c r="AH51" i="5"/>
  <c r="AH61" i="5"/>
  <c r="AH60" i="5"/>
  <c r="AH59" i="5"/>
  <c r="AH58" i="5"/>
  <c r="AH53" i="5"/>
  <c r="H59" i="5"/>
  <c r="H58" i="5"/>
  <c r="AD38" i="5" l="1"/>
  <c r="AD43" i="5" s="1"/>
  <c r="R38" i="5" l="1"/>
  <c r="R43" i="5" s="1"/>
  <c r="V7" i="14" l="1"/>
  <c r="V12" i="14" s="1"/>
  <c r="Y7" i="14"/>
  <c r="Y12" i="14" s="1"/>
  <c r="AB7" i="14"/>
  <c r="AB12" i="14" s="1"/>
  <c r="AE7" i="14"/>
  <c r="AE12" i="14" s="1"/>
  <c r="BK5" i="8"/>
  <c r="AB21" i="9"/>
  <c r="BL10" i="8" l="1"/>
  <c r="BC10" i="8" s="1"/>
  <c r="AE24" i="9" s="1"/>
  <c r="BM10" i="8"/>
  <c r="BF10" i="8" s="1"/>
  <c r="AH24" i="9" s="1"/>
  <c r="BM9" i="8"/>
  <c r="BF9" i="8" s="1"/>
  <c r="AH23" i="9" s="1"/>
  <c r="BL9" i="8"/>
  <c r="BC9" i="8" s="1"/>
  <c r="AE23" i="9" s="1"/>
  <c r="BL8" i="8"/>
  <c r="BC8" i="8" s="1"/>
  <c r="AE22" i="9" s="1"/>
  <c r="BM8" i="8"/>
  <c r="BF8" i="8" s="1"/>
  <c r="AH22" i="9" s="1"/>
  <c r="BL7" i="8"/>
  <c r="BC7" i="8" s="1"/>
  <c r="BK7" i="8" l="1"/>
  <c r="AU21" i="9" s="1"/>
  <c r="BC12" i="8"/>
  <c r="V21" i="9"/>
  <c r="AH7" i="14"/>
  <c r="AH12" i="14" s="1"/>
  <c r="BF62" i="13"/>
  <c r="C61" i="13" s="1"/>
  <c r="R14" i="9" l="1"/>
  <c r="AE21" i="9"/>
  <c r="AK7" i="8"/>
  <c r="AT7" i="8"/>
  <c r="AN7" i="8"/>
  <c r="AQ7" i="8"/>
  <c r="AQ12" i="8" l="1"/>
  <c r="AN12" i="8"/>
  <c r="AT12" i="8"/>
  <c r="AK12" i="8"/>
  <c r="AW7" i="8"/>
  <c r="R18" i="13"/>
  <c r="R17" i="13"/>
  <c r="R16" i="13"/>
  <c r="R15" i="13"/>
  <c r="R14" i="13"/>
  <c r="C66" i="13" s="1"/>
  <c r="R13" i="13"/>
  <c r="R12" i="13"/>
  <c r="R11" i="13"/>
  <c r="R10" i="13"/>
  <c r="R9" i="13"/>
  <c r="R8" i="13"/>
  <c r="AK15" i="14"/>
  <c r="AK16" i="14" l="1"/>
  <c r="AP16" i="14" s="1"/>
  <c r="AK20" i="14"/>
  <c r="AP20" i="14" s="1"/>
  <c r="AK17" i="14"/>
  <c r="AP17" i="14" s="1"/>
  <c r="AP15" i="14"/>
  <c r="AK18" i="14"/>
  <c r="AP18" i="14" s="1"/>
  <c r="AK19" i="14"/>
  <c r="AP19" i="14" s="1"/>
  <c r="AW12" i="8"/>
  <c r="Y26" i="9" s="1"/>
  <c r="P36" i="13"/>
  <c r="AZ7" i="14"/>
  <c r="BC7" i="14"/>
  <c r="BF7" i="14"/>
  <c r="BI7" i="14"/>
  <c r="BK11" i="8"/>
  <c r="BJ7" i="8"/>
  <c r="AN21" i="9" s="1"/>
  <c r="AN26" i="9" s="1"/>
  <c r="R12" i="5"/>
  <c r="R11" i="5"/>
  <c r="R10" i="5"/>
  <c r="R9" i="5"/>
  <c r="R8" i="5"/>
  <c r="R8" i="9"/>
  <c r="C45" i="9"/>
  <c r="AK21" i="14" l="1"/>
  <c r="AP21" i="14"/>
  <c r="AF27" i="5"/>
  <c r="AF32" i="5" s="1"/>
  <c r="BC12" i="14"/>
  <c r="AZ12" i="14"/>
  <c r="AI27" i="5"/>
  <c r="AI32" i="5" s="1"/>
  <c r="BF12" i="14"/>
  <c r="AL27" i="5"/>
  <c r="AL32" i="5" s="1"/>
  <c r="BI12" i="14"/>
  <c r="BJ6" i="15"/>
  <c r="AP6" i="15" s="1"/>
  <c r="AC27" i="5"/>
  <c r="BL6" i="15"/>
  <c r="BA6" i="15" s="1"/>
  <c r="BI6" i="15"/>
  <c r="BH6" i="15"/>
  <c r="F6" i="15" s="1"/>
  <c r="BC27" i="5"/>
  <c r="AU27" i="5" s="1"/>
  <c r="AU26" i="9"/>
  <c r="BL10" i="14" l="1"/>
  <c r="BO10" i="14" s="1"/>
  <c r="BL8" i="14"/>
  <c r="BO8" i="14" s="1"/>
  <c r="BL9" i="14"/>
  <c r="BO9" i="14" s="1"/>
  <c r="BL7" i="14"/>
  <c r="BA11" i="15"/>
  <c r="AU32" i="5"/>
  <c r="L6" i="15"/>
  <c r="F11" i="15"/>
  <c r="AP11" i="15"/>
  <c r="AC32" i="5"/>
  <c r="O6" i="15"/>
  <c r="AO27" i="5"/>
  <c r="AK7" i="14"/>
  <c r="AK12" i="14" s="1"/>
  <c r="Q27" i="5"/>
  <c r="Q32" i="5" s="1"/>
  <c r="AT7" i="14"/>
  <c r="AT12" i="14" s="1"/>
  <c r="Z27" i="5"/>
  <c r="Z32" i="5" s="1"/>
  <c r="AQ7" i="14"/>
  <c r="AQ12" i="14" s="1"/>
  <c r="W27" i="5"/>
  <c r="W32" i="5" s="1"/>
  <c r="AN7" i="14"/>
  <c r="AN12" i="14" s="1"/>
  <c r="T27" i="5"/>
  <c r="T32" i="5" s="1"/>
  <c r="F38" i="5"/>
  <c r="F43" i="5" l="1"/>
  <c r="BL12" i="14"/>
  <c r="BO7" i="14"/>
  <c r="BO12" i="14" s="1"/>
  <c r="O38" i="5"/>
  <c r="O11" i="15"/>
  <c r="L11" i="15"/>
  <c r="AO32" i="5"/>
  <c r="U6" i="15"/>
  <c r="AX27" i="5"/>
  <c r="AX32" i="5" s="1"/>
  <c r="AW7" i="14"/>
  <c r="AW12" i="14" s="1"/>
  <c r="BM7" i="8"/>
  <c r="BF7" i="8" s="1"/>
  <c r="AR27" i="5"/>
  <c r="AR32" i="5" s="1"/>
  <c r="L38" i="5"/>
  <c r="Y21" i="9"/>
  <c r="L43" i="5" l="1"/>
  <c r="BK6" i="15"/>
  <c r="AV38" i="5" s="1"/>
  <c r="AV43" i="5" s="1"/>
  <c r="U11" i="15"/>
  <c r="O43" i="5"/>
  <c r="AH21" i="9"/>
  <c r="BF12" i="8"/>
  <c r="AV6" i="15"/>
  <c r="U38" i="5"/>
  <c r="AJ6" i="15"/>
  <c r="U43" i="5" l="1"/>
  <c r="R15" i="9"/>
  <c r="AJ38" i="5"/>
  <c r="AJ43" i="5" s="1"/>
  <c r="AJ11" i="15"/>
  <c r="AP38" i="5"/>
  <c r="AP43" i="5" s="1"/>
  <c r="AV11" i="15"/>
  <c r="BK11" i="15"/>
  <c r="F50" i="5"/>
  <c r="I50" i="5" l="1"/>
</calcChain>
</file>

<file path=xl/comments1.xml><?xml version="1.0" encoding="utf-8"?>
<comments xmlns="http://schemas.openxmlformats.org/spreadsheetml/2006/main">
  <authors>
    <author>David Esteban Garcia Hurtado</author>
  </authors>
  <commentList>
    <comment ref="C7" authorId="0" shapeId="0">
      <text>
        <r>
          <rPr>
            <b/>
            <sz val="9"/>
            <color indexed="81"/>
            <rFont val="Tahoma"/>
            <family val="2"/>
          </rPr>
          <t>David Esteban Garcia Hurtado:</t>
        </r>
        <r>
          <rPr>
            <sz val="9"/>
            <color indexed="81"/>
            <rFont val="Tahoma"/>
            <family val="2"/>
          </rPr>
          <t xml:space="preserve">
Id de la HU el mismo de la Info General</t>
        </r>
      </text>
    </comment>
    <comment ref="Q7" authorId="0" shapeId="0">
      <text>
        <r>
          <rPr>
            <b/>
            <sz val="9"/>
            <color indexed="81"/>
            <rFont val="Tahoma"/>
            <family val="2"/>
          </rPr>
          <t>David Esteban Garcia Hurtado:</t>
        </r>
        <r>
          <rPr>
            <sz val="9"/>
            <color indexed="81"/>
            <rFont val="Tahoma"/>
            <family val="2"/>
          </rPr>
          <t xml:space="preserve">
Seleccionar categoría de riesgo.</t>
        </r>
      </text>
    </comment>
    <comment ref="AC7" authorId="0" shapeId="0">
      <text>
        <r>
          <rPr>
            <b/>
            <sz val="9"/>
            <color indexed="81"/>
            <rFont val="Tahoma"/>
            <family val="2"/>
          </rPr>
          <t>David Esteban Garcia Hurtado:</t>
        </r>
        <r>
          <rPr>
            <sz val="9"/>
            <color indexed="81"/>
            <rFont val="Tahoma"/>
            <family val="2"/>
          </rPr>
          <t xml:space="preserve">
Descripción breve del riesgo identificado</t>
        </r>
      </text>
    </comment>
    <comment ref="AM7" authorId="0" shapeId="0">
      <text>
        <r>
          <rPr>
            <b/>
            <sz val="9"/>
            <color indexed="81"/>
            <rFont val="Tahoma"/>
            <family val="2"/>
          </rPr>
          <t>David Esteban Garcia Hurtado:</t>
        </r>
        <r>
          <rPr>
            <sz val="9"/>
            <color indexed="81"/>
            <rFont val="Tahoma"/>
            <family val="2"/>
          </rPr>
          <t xml:space="preserve">
Nivel de impacto del riesgo.</t>
        </r>
      </text>
    </comment>
    <comment ref="AR7" authorId="0" shapeId="0">
      <text>
        <r>
          <rPr>
            <b/>
            <sz val="9"/>
            <color indexed="81"/>
            <rFont val="Tahoma"/>
            <family val="2"/>
          </rPr>
          <t>David Esteban Garcia Hurtado:</t>
        </r>
        <r>
          <rPr>
            <sz val="9"/>
            <color indexed="81"/>
            <rFont val="Tahoma"/>
            <family val="2"/>
          </rPr>
          <t xml:space="preserve">
Valor del riesgo identificado. Rango 1 - 5</t>
        </r>
      </text>
    </comment>
    <comment ref="AZ7" authorId="0" shapeId="0">
      <text>
        <r>
          <rPr>
            <b/>
            <sz val="9"/>
            <color indexed="81"/>
            <rFont val="Tahoma"/>
            <family val="2"/>
          </rPr>
          <t>David Esteban Garcia Hurtado:</t>
        </r>
        <r>
          <rPr>
            <sz val="9"/>
            <color indexed="81"/>
            <rFont val="Tahoma"/>
            <family val="2"/>
          </rPr>
          <t xml:space="preserve">
¿Cómo propones mitigar o eliminar el riesgo?</t>
        </r>
      </text>
    </comment>
  </commentList>
</comments>
</file>

<file path=xl/comments2.xml><?xml version="1.0" encoding="utf-8"?>
<comments xmlns="http://schemas.openxmlformats.org/spreadsheetml/2006/main">
  <authors>
    <author>David Esteban Garcia Hurtado</author>
  </authors>
  <commentList>
    <comment ref="V6" authorId="0" shapeId="0">
      <text>
        <r>
          <rPr>
            <b/>
            <sz val="9"/>
            <color indexed="81"/>
            <rFont val="Tahoma"/>
            <family val="2"/>
          </rPr>
          <t>David Esteban Garcia Hurtado:</t>
        </r>
        <r>
          <rPr>
            <sz val="9"/>
            <color indexed="81"/>
            <rFont val="Tahoma"/>
            <family val="2"/>
          </rPr>
          <t xml:space="preserve">
Tiempo estimado para realizar la planeación</t>
        </r>
      </text>
    </comment>
    <comment ref="Y6" authorId="0" shapeId="0">
      <text>
        <r>
          <rPr>
            <b/>
            <sz val="9"/>
            <color indexed="81"/>
            <rFont val="Tahoma"/>
            <family val="2"/>
          </rPr>
          <t>David Esteban Garcia Hurtado:</t>
        </r>
        <r>
          <rPr>
            <sz val="9"/>
            <color indexed="81"/>
            <rFont val="Tahoma"/>
            <family val="2"/>
          </rPr>
          <t xml:space="preserve">
Tiempo estimado para realizar el diseño del plan de pruebas.</t>
        </r>
      </text>
    </comment>
    <comment ref="AB6" authorId="0" shapeId="0">
      <text>
        <r>
          <rPr>
            <b/>
            <sz val="9"/>
            <color indexed="81"/>
            <rFont val="Tahoma"/>
            <family val="2"/>
          </rPr>
          <t>David Esteban Garcia Hurtado:</t>
        </r>
        <r>
          <rPr>
            <sz val="9"/>
            <color indexed="81"/>
            <rFont val="Tahoma"/>
            <family val="2"/>
          </rPr>
          <t xml:space="preserve">
Tiempo estimado para ejecutar el plan de pruebas.</t>
        </r>
      </text>
    </comment>
    <comment ref="AE6" authorId="0" shapeId="0">
      <text>
        <r>
          <rPr>
            <b/>
            <sz val="9"/>
            <color indexed="81"/>
            <rFont val="Tahoma"/>
            <family val="2"/>
          </rPr>
          <t>David Esteban Garcia Hurtado:</t>
        </r>
        <r>
          <rPr>
            <sz val="9"/>
            <color indexed="81"/>
            <rFont val="Tahoma"/>
            <family val="2"/>
          </rPr>
          <t xml:space="preserve">
Tiempo estimado para las actividades de entrega de resultados.</t>
        </r>
      </text>
    </comment>
    <comment ref="AZ6" authorId="0" shapeId="0">
      <text>
        <r>
          <rPr>
            <b/>
            <sz val="9"/>
            <color indexed="81"/>
            <rFont val="Tahoma"/>
            <family val="2"/>
          </rPr>
          <t>David Esteban Garcia Hurtado:</t>
        </r>
        <r>
          <rPr>
            <sz val="9"/>
            <color indexed="81"/>
            <rFont val="Tahoma"/>
            <family val="2"/>
          </rPr>
          <t xml:space="preserve">
Fecha de inicio de la HU. AAAA/MM/DD</t>
        </r>
      </text>
    </comment>
  </commentList>
</comments>
</file>

<file path=xl/comments3.xml><?xml version="1.0" encoding="utf-8"?>
<comments xmlns="http://schemas.openxmlformats.org/spreadsheetml/2006/main">
  <authors>
    <author>David Esteban Garcia Hurtado</author>
  </authors>
  <commentList>
    <comment ref="C39" authorId="0" shapeId="0">
      <text>
        <r>
          <rPr>
            <b/>
            <sz val="9"/>
            <color indexed="81"/>
            <rFont val="Tahoma"/>
            <family val="2"/>
          </rPr>
          <t>David Esteban Garcia Hurtado:</t>
        </r>
        <r>
          <rPr>
            <sz val="9"/>
            <color indexed="81"/>
            <rFont val="Tahoma"/>
            <family val="2"/>
          </rPr>
          <t xml:space="preserve">
Observaciones y recomendaciones para tener un buen desarrollo del proyecto</t>
        </r>
      </text>
    </comment>
  </commentList>
</comments>
</file>

<file path=xl/comments4.xml><?xml version="1.0" encoding="utf-8"?>
<comments xmlns="http://schemas.openxmlformats.org/spreadsheetml/2006/main">
  <authors>
    <author>David Esteban Garcia Hurtado</author>
  </authors>
  <commentList>
    <comment ref="C15" authorId="0" shapeId="0">
      <text>
        <r>
          <rPr>
            <b/>
            <sz val="9"/>
            <color indexed="81"/>
            <rFont val="Tahoma"/>
            <family val="2"/>
          </rPr>
          <t>David Esteban Garcia Hurtado:</t>
        </r>
        <r>
          <rPr>
            <sz val="9"/>
            <color indexed="81"/>
            <rFont val="Tahoma"/>
            <family val="2"/>
          </rPr>
          <t xml:space="preserve">
1 por defecto, deben ser más.</t>
        </r>
      </text>
    </comment>
    <comment ref="C23" authorId="0" shapeId="0">
      <text>
        <r>
          <rPr>
            <b/>
            <sz val="9"/>
            <color indexed="81"/>
            <rFont val="Tahoma"/>
            <family val="2"/>
          </rPr>
          <t>David Esteban Garcia Hurtado:</t>
        </r>
        <r>
          <rPr>
            <sz val="9"/>
            <color indexed="81"/>
            <rFont val="Tahoma"/>
            <family val="2"/>
          </rPr>
          <t xml:space="preserve">
Id de la HU en Tuleap.</t>
        </r>
      </text>
    </comment>
    <comment ref="F23" authorId="0" shapeId="0">
      <text>
        <r>
          <rPr>
            <b/>
            <sz val="9"/>
            <color indexed="81"/>
            <rFont val="Tahoma"/>
            <family val="2"/>
          </rPr>
          <t>David Esteban Garcia Hurtado:</t>
        </r>
        <r>
          <rPr>
            <sz val="9"/>
            <color indexed="81"/>
            <rFont val="Tahoma"/>
            <family val="2"/>
          </rPr>
          <t xml:space="preserve">
Título de la HU en Tuleap</t>
        </r>
      </text>
    </comment>
    <comment ref="U23" authorId="0" shapeId="0">
      <text>
        <r>
          <rPr>
            <b/>
            <sz val="9"/>
            <color indexed="81"/>
            <rFont val="Tahoma"/>
            <family val="2"/>
          </rPr>
          <t>David Esteban Garcia Hurtado:</t>
        </r>
        <r>
          <rPr>
            <sz val="9"/>
            <color indexed="81"/>
            <rFont val="Tahoma"/>
            <family val="2"/>
          </rPr>
          <t xml:space="preserve">
Descripción o detalle de la HU en Tuleap</t>
        </r>
      </text>
    </comment>
    <comment ref="AS23" authorId="0" shapeId="0">
      <text>
        <r>
          <rPr>
            <b/>
            <sz val="9"/>
            <color indexed="81"/>
            <rFont val="Tahoma"/>
            <family val="2"/>
          </rPr>
          <t>David Esteban Garcia Hurtado:</t>
        </r>
        <r>
          <rPr>
            <sz val="9"/>
            <color indexed="81"/>
            <rFont val="Tahoma"/>
            <family val="2"/>
          </rPr>
          <t xml:space="preserve">
Tipo de HU.</t>
        </r>
      </text>
    </comment>
    <comment ref="AV23" authorId="0" shapeId="0">
      <text>
        <r>
          <rPr>
            <b/>
            <sz val="9"/>
            <color indexed="81"/>
            <rFont val="Tahoma"/>
            <family val="2"/>
          </rPr>
          <t>David Esteban Garcia Hurtado:</t>
        </r>
        <r>
          <rPr>
            <sz val="9"/>
            <color indexed="81"/>
            <rFont val="Tahoma"/>
            <family val="2"/>
          </rPr>
          <t xml:space="preserve">
Confirmación que ya esta creada en Tuleap</t>
        </r>
      </text>
    </comment>
    <comment ref="AY23" authorId="0" shapeId="0">
      <text>
        <r>
          <rPr>
            <b/>
            <sz val="9"/>
            <color indexed="81"/>
            <rFont val="Tahoma"/>
            <family val="2"/>
          </rPr>
          <t>David Esteban Garcia Hurtado:</t>
        </r>
        <r>
          <rPr>
            <sz val="9"/>
            <color indexed="81"/>
            <rFont val="Tahoma"/>
            <family val="2"/>
          </rPr>
          <t xml:space="preserve">
Confirmación que ya esta debidamente refinada en Tuelap.</t>
        </r>
      </text>
    </comment>
    <comment ref="C32" authorId="0" shapeId="0">
      <text>
        <r>
          <rPr>
            <b/>
            <sz val="9"/>
            <color indexed="81"/>
            <rFont val="Tahoma"/>
            <family val="2"/>
          </rPr>
          <t>David Esteban Garcia Hurtado:</t>
        </r>
        <r>
          <rPr>
            <sz val="9"/>
            <color indexed="81"/>
            <rFont val="Tahoma"/>
            <family val="2"/>
          </rPr>
          <t xml:space="preserve">
Confirmación de la creación del ambiente de pruebas.</t>
        </r>
      </text>
    </comment>
    <comment ref="C34" authorId="0" shapeId="0">
      <text>
        <r>
          <rPr>
            <b/>
            <sz val="9"/>
            <color indexed="81"/>
            <rFont val="Tahoma"/>
            <family val="2"/>
          </rPr>
          <t>David Esteban Garcia Hurtado:</t>
        </r>
        <r>
          <rPr>
            <sz val="9"/>
            <color indexed="81"/>
            <rFont val="Tahoma"/>
            <family val="2"/>
          </rPr>
          <t xml:space="preserve">
Nombre de la máquina en que se realizan las pruebas.</t>
        </r>
      </text>
    </comment>
  </commentList>
</comments>
</file>

<file path=xl/comments5.xml><?xml version="1.0" encoding="utf-8"?>
<comments xmlns="http://schemas.openxmlformats.org/spreadsheetml/2006/main">
  <authors>
    <author>David Esteban Garcia Hurtado</author>
  </authors>
  <commentList>
    <comment ref="C7" authorId="0" shapeId="0">
      <text>
        <r>
          <rPr>
            <b/>
            <sz val="9"/>
            <color indexed="81"/>
            <rFont val="Tahoma"/>
            <family val="2"/>
          </rPr>
          <t>David Esteban Garcia Hurtado:</t>
        </r>
        <r>
          <rPr>
            <sz val="9"/>
            <color indexed="81"/>
            <rFont val="Tahoma"/>
            <family val="2"/>
          </rPr>
          <t xml:space="preserve">
Número de la Historia de usuario en Tuleap.</t>
        </r>
      </text>
    </comment>
    <comment ref="F7" authorId="0" shapeId="0">
      <text>
        <r>
          <rPr>
            <b/>
            <sz val="9"/>
            <color indexed="81"/>
            <rFont val="Tahoma"/>
            <family val="2"/>
          </rPr>
          <t>David Esteban Garcia Hurtado:</t>
        </r>
        <r>
          <rPr>
            <sz val="9"/>
            <color indexed="81"/>
            <rFont val="Tahoma"/>
            <family val="2"/>
          </rPr>
          <t xml:space="preserve">
Identificador del caso de prueba</t>
        </r>
      </text>
    </comment>
    <comment ref="S7" authorId="0" shapeId="0">
      <text>
        <r>
          <rPr>
            <b/>
            <sz val="9"/>
            <color indexed="81"/>
            <rFont val="Tahoma"/>
            <family val="2"/>
          </rPr>
          <t xml:space="preserve">David Esteban Garcia Hurtado:
</t>
        </r>
        <r>
          <rPr>
            <sz val="9"/>
            <color indexed="81"/>
            <rFont val="Tahoma"/>
            <family val="2"/>
          </rPr>
          <t>Descripción básica del caso de prueba.</t>
        </r>
      </text>
    </comment>
    <comment ref="AC7" authorId="0" shapeId="0">
      <text>
        <r>
          <rPr>
            <b/>
            <sz val="9"/>
            <color indexed="81"/>
            <rFont val="Tahoma"/>
            <family val="2"/>
          </rPr>
          <t>David Esteban Garcia Hurtado:</t>
        </r>
        <r>
          <rPr>
            <sz val="9"/>
            <color indexed="81"/>
            <rFont val="Tahoma"/>
            <family val="2"/>
          </rPr>
          <t xml:space="preserve">
Precondiciones para la ejecución del caso de prueba.</t>
        </r>
      </text>
    </comment>
    <comment ref="AM7" authorId="0" shapeId="0">
      <text>
        <r>
          <rPr>
            <b/>
            <sz val="9"/>
            <color indexed="81"/>
            <rFont val="Tahoma"/>
            <family val="2"/>
          </rPr>
          <t>David Esteban Garcia Hurtado:</t>
        </r>
        <r>
          <rPr>
            <sz val="9"/>
            <color indexed="81"/>
            <rFont val="Tahoma"/>
            <family val="2"/>
          </rPr>
          <t xml:space="preserve">
Datos necesarios para la ejecución del caso de prueba.</t>
        </r>
      </text>
    </comment>
    <comment ref="AW7" authorId="0" shapeId="0">
      <text>
        <r>
          <rPr>
            <b/>
            <sz val="9"/>
            <color indexed="81"/>
            <rFont val="Tahoma"/>
            <family val="2"/>
          </rPr>
          <t>David Esteban Garcia Hurtado:</t>
        </r>
        <r>
          <rPr>
            <sz val="9"/>
            <color indexed="81"/>
            <rFont val="Tahoma"/>
            <family val="2"/>
          </rPr>
          <t xml:space="preserve">
Paso a paso de la ejecución del caso de prueba.</t>
        </r>
      </text>
    </comment>
    <comment ref="BQ7" authorId="0" shapeId="0">
      <text>
        <r>
          <rPr>
            <b/>
            <sz val="9"/>
            <color indexed="81"/>
            <rFont val="Tahoma"/>
            <family val="2"/>
          </rPr>
          <t>David Esteban Garcia Hurtado:</t>
        </r>
        <r>
          <rPr>
            <sz val="9"/>
            <color indexed="81"/>
            <rFont val="Tahoma"/>
            <family val="2"/>
          </rPr>
          <t xml:space="preserve">
Qué resultado se debe obtener luego de ejecutar el caso de prueba</t>
        </r>
      </text>
    </comment>
    <comment ref="CA7" authorId="0" shapeId="0">
      <text>
        <r>
          <rPr>
            <b/>
            <sz val="9"/>
            <color indexed="81"/>
            <rFont val="Tahoma"/>
            <family val="2"/>
          </rPr>
          <t>David Esteban Garcia Hurtado:</t>
        </r>
        <r>
          <rPr>
            <sz val="9"/>
            <color indexed="81"/>
            <rFont val="Tahoma"/>
            <family val="2"/>
          </rPr>
          <t xml:space="preserve">
El caso de prueba debe fallar o debe funcionar.</t>
        </r>
      </text>
    </comment>
    <comment ref="CF7" authorId="0" shapeId="0">
      <text>
        <r>
          <rPr>
            <b/>
            <sz val="9"/>
            <color indexed="81"/>
            <rFont val="Tahoma"/>
            <family val="2"/>
          </rPr>
          <t>David Esteban Garcia Hurtado:</t>
        </r>
        <r>
          <rPr>
            <sz val="9"/>
            <color indexed="81"/>
            <rFont val="Tahoma"/>
            <family val="2"/>
          </rPr>
          <t xml:space="preserve">
Este caso de prueba es parte de la ruta crítica
</t>
        </r>
      </text>
    </comment>
    <comment ref="CU7" authorId="0" shapeId="0">
      <text>
        <r>
          <rPr>
            <b/>
            <sz val="9"/>
            <color indexed="81"/>
            <rFont val="Tahoma"/>
            <family val="2"/>
          </rPr>
          <t>David Esteban Garcia Hurtado:</t>
        </r>
        <r>
          <rPr>
            <sz val="9"/>
            <color indexed="81"/>
            <rFont val="Tahoma"/>
            <family val="2"/>
          </rPr>
          <t xml:space="preserve">
Fecha de la última ejecución del caso de prueba.</t>
        </r>
      </text>
    </comment>
  </commentList>
</comments>
</file>

<file path=xl/comments6.xml><?xml version="1.0" encoding="utf-8"?>
<comments xmlns="http://schemas.openxmlformats.org/spreadsheetml/2006/main">
  <authors>
    <author>David Esteban Garcia Hurtado</author>
  </authors>
  <commentList>
    <comment ref="I5" authorId="0" shapeId="0">
      <text>
        <r>
          <rPr>
            <b/>
            <sz val="9"/>
            <color indexed="81"/>
            <rFont val="Tahoma"/>
            <family val="2"/>
          </rPr>
          <t>David Esteban Garcia Hurtado:</t>
        </r>
        <r>
          <rPr>
            <sz val="9"/>
            <color indexed="81"/>
            <rFont val="Tahoma"/>
            <family val="2"/>
          </rPr>
          <t xml:space="preserve">
Cantidad de casos automaticos diseñados.</t>
        </r>
      </text>
    </comment>
    <comment ref="R5" authorId="0" shapeId="0">
      <text>
        <r>
          <rPr>
            <b/>
            <sz val="9"/>
            <color indexed="81"/>
            <rFont val="Tahoma"/>
            <family val="2"/>
          </rPr>
          <t>David Esteban Garcia Hurtado:</t>
        </r>
        <r>
          <rPr>
            <sz val="9"/>
            <color indexed="81"/>
            <rFont val="Tahoma"/>
            <family val="2"/>
          </rPr>
          <t xml:space="preserve">
Cantidad de casos automáticos ejecutados.</t>
        </r>
      </text>
    </comment>
    <comment ref="X5" authorId="0" shapeId="0">
      <text>
        <r>
          <rPr>
            <b/>
            <sz val="9"/>
            <color indexed="81"/>
            <rFont val="Tahoma"/>
            <family val="2"/>
          </rPr>
          <t>David Esteban Garcia Hurtado:</t>
        </r>
        <r>
          <rPr>
            <sz val="9"/>
            <color indexed="81"/>
            <rFont val="Tahoma"/>
            <family val="2"/>
          </rPr>
          <t xml:space="preserve">
Casos ya diseñados que se reutilizaran.</t>
        </r>
      </text>
    </comment>
    <comment ref="AD5" authorId="0" shapeId="0">
      <text>
        <r>
          <rPr>
            <b/>
            <sz val="9"/>
            <color indexed="81"/>
            <rFont val="Tahoma"/>
            <family val="2"/>
          </rPr>
          <t>David Esteban Garcia Hurtado:</t>
        </r>
        <r>
          <rPr>
            <sz val="9"/>
            <color indexed="81"/>
            <rFont val="Tahoma"/>
            <family val="2"/>
          </rPr>
          <t xml:space="preserve">
Casos ejecutados que ya tenian diseño.</t>
        </r>
      </text>
    </comment>
  </commentList>
</comments>
</file>

<file path=xl/comments7.xml><?xml version="1.0" encoding="utf-8"?>
<comments xmlns="http://schemas.openxmlformats.org/spreadsheetml/2006/main">
  <authors>
    <author>David Esteban Garcia Hurtado</author>
  </authors>
  <commentList>
    <comment ref="C11" authorId="0" shapeId="0">
      <text>
        <r>
          <rPr>
            <b/>
            <sz val="9"/>
            <color indexed="81"/>
            <rFont val="Tahoma"/>
            <family val="2"/>
          </rPr>
          <t>David Esteban Garcia Hurtado:</t>
        </r>
        <r>
          <rPr>
            <sz val="9"/>
            <color indexed="81"/>
            <rFont val="Tahoma"/>
            <family val="2"/>
          </rPr>
          <t xml:space="preserve">
Se puede modificar la formula que totaliza los incidentes. Mejora Pendiente</t>
        </r>
      </text>
    </comment>
  </commentList>
</comments>
</file>

<file path=xl/comments8.xml><?xml version="1.0" encoding="utf-8"?>
<comments xmlns="http://schemas.openxmlformats.org/spreadsheetml/2006/main">
  <authors>
    <author>David Esteban Garcia Hurtado</author>
  </authors>
  <commentList>
    <comment ref="AZ6" authorId="0" shapeId="0">
      <text>
        <r>
          <rPr>
            <b/>
            <sz val="9"/>
            <color indexed="81"/>
            <rFont val="Tahoma"/>
            <family val="2"/>
          </rPr>
          <t>David Esteban Garcia Hurtado:</t>
        </r>
        <r>
          <rPr>
            <sz val="9"/>
            <color indexed="81"/>
            <rFont val="Tahoma"/>
            <family val="2"/>
          </rPr>
          <t xml:space="preserve">
Tiempo ejecutado de la planeación del plan de pruebas.</t>
        </r>
      </text>
    </comment>
    <comment ref="BC6" authorId="0" shapeId="0">
      <text>
        <r>
          <rPr>
            <b/>
            <sz val="9"/>
            <color indexed="81"/>
            <rFont val="Tahoma"/>
            <family val="2"/>
          </rPr>
          <t>David Esteban Garcia Hurtado:</t>
        </r>
        <r>
          <rPr>
            <sz val="9"/>
            <color indexed="81"/>
            <rFont val="Tahoma"/>
            <family val="2"/>
          </rPr>
          <t xml:space="preserve">
Tiempo ejecutado en el diseño del plan de pruebas.</t>
        </r>
      </text>
    </comment>
    <comment ref="BF6" authorId="0" shapeId="0">
      <text>
        <r>
          <rPr>
            <b/>
            <sz val="9"/>
            <color indexed="81"/>
            <rFont val="Tahoma"/>
            <family val="2"/>
          </rPr>
          <t>David Esteban Garcia Hurtado:</t>
        </r>
        <r>
          <rPr>
            <sz val="9"/>
            <color indexed="81"/>
            <rFont val="Tahoma"/>
            <family val="2"/>
          </rPr>
          <t xml:space="preserve">
Tiempo invertido en la ejecución del plan de pruebas.</t>
        </r>
      </text>
    </comment>
    <comment ref="BI6" authorId="0" shapeId="0">
      <text>
        <r>
          <rPr>
            <b/>
            <sz val="9"/>
            <color indexed="81"/>
            <rFont val="Tahoma"/>
            <family val="2"/>
          </rPr>
          <t>David Esteban Garcia Hurtado:</t>
        </r>
        <r>
          <rPr>
            <sz val="9"/>
            <color indexed="81"/>
            <rFont val="Tahoma"/>
            <family val="2"/>
          </rPr>
          <t xml:space="preserve">
Tiempo invertido en las actividades de cierre del proyecto de pruebas.</t>
        </r>
      </text>
    </comment>
  </commentList>
</comments>
</file>

<file path=xl/comments9.xml><?xml version="1.0" encoding="utf-8"?>
<comments xmlns="http://schemas.openxmlformats.org/spreadsheetml/2006/main">
  <authors>
    <author>David Esteban Garcia Hurtado</author>
  </authors>
  <commentList>
    <comment ref="C6" authorId="0" shapeId="0">
      <text>
        <r>
          <rPr>
            <b/>
            <sz val="9"/>
            <color indexed="81"/>
            <rFont val="Tahoma"/>
            <family val="2"/>
          </rPr>
          <t>David Esteban Garcia Hurtado:</t>
        </r>
        <r>
          <rPr>
            <sz val="9"/>
            <color indexed="81"/>
            <rFont val="Tahoma"/>
            <family val="2"/>
          </rPr>
          <t xml:space="preserve">
Id de la HU de la Info General, la misma de Tuleap</t>
        </r>
      </text>
    </comment>
    <comment ref="P6" authorId="0" shapeId="0">
      <text>
        <r>
          <rPr>
            <b/>
            <sz val="9"/>
            <color indexed="81"/>
            <rFont val="Tahoma"/>
            <family val="2"/>
          </rPr>
          <t>David Esteban Garcia Hurtado:</t>
        </r>
        <r>
          <rPr>
            <sz val="9"/>
            <color indexed="81"/>
            <rFont val="Tahoma"/>
            <family val="2"/>
          </rPr>
          <t xml:space="preserve">
Categoría del riesgo materializado.</t>
        </r>
      </text>
    </comment>
    <comment ref="AE6" authorId="0" shapeId="0">
      <text>
        <r>
          <rPr>
            <b/>
            <sz val="9"/>
            <color indexed="81"/>
            <rFont val="Tahoma"/>
            <family val="2"/>
          </rPr>
          <t>David Esteban Garcia Hurtado:</t>
        </r>
        <r>
          <rPr>
            <sz val="9"/>
            <color indexed="81"/>
            <rFont val="Tahoma"/>
            <family val="2"/>
          </rPr>
          <t xml:space="preserve">
Descripción breve de la situación que genera el desface</t>
        </r>
      </text>
    </comment>
    <comment ref="AT6" authorId="0" shapeId="0">
      <text>
        <r>
          <rPr>
            <b/>
            <sz val="9"/>
            <color indexed="81"/>
            <rFont val="Tahoma"/>
            <family val="2"/>
          </rPr>
          <t>David Esteban Garcia Hurtado:</t>
        </r>
        <r>
          <rPr>
            <sz val="9"/>
            <color indexed="81"/>
            <rFont val="Tahoma"/>
            <family val="2"/>
          </rPr>
          <t xml:space="preserve">
Cuento tiempo se "perdió" en la situación.</t>
        </r>
      </text>
    </comment>
    <comment ref="AW6" authorId="0" shapeId="0">
      <text>
        <r>
          <rPr>
            <b/>
            <sz val="9"/>
            <color indexed="81"/>
            <rFont val="Tahoma"/>
            <family val="2"/>
          </rPr>
          <t>David Esteban Garcia Hurtado:</t>
        </r>
        <r>
          <rPr>
            <sz val="9"/>
            <color indexed="81"/>
            <rFont val="Tahoma"/>
            <family val="2"/>
          </rPr>
          <t xml:space="preserve">
Fecha en la que inició la situación.</t>
        </r>
      </text>
    </comment>
  </commentList>
</comments>
</file>

<file path=xl/comments10.xml><?xml version="1.0" encoding="utf-8"?>
<comments xmlns="http://schemas.openxmlformats.org/spreadsheetml/2006/main">
  <authors>
    <author>David Esteban Garcia Hurtado</author>
  </authors>
  <commentList>
    <comment ref="C18" authorId="0" shapeId="0">
      <text>
        <r>
          <rPr>
            <b/>
            <sz val="9"/>
            <color indexed="81"/>
            <rFont val="Tahoma"/>
            <family val="2"/>
          </rPr>
          <t>David Esteban Garcia Hurtado:</t>
        </r>
        <r>
          <rPr>
            <sz val="9"/>
            <color indexed="81"/>
            <rFont val="Tahoma"/>
            <family val="2"/>
          </rPr>
          <t xml:space="preserve">
Resumen de las actividades y situaciones que se presentaron durante el día.</t>
        </r>
      </text>
    </comment>
  </commentList>
</comments>
</file>

<file path=xl/sharedStrings.xml><?xml version="1.0" encoding="utf-8"?>
<sst xmlns="http://schemas.openxmlformats.org/spreadsheetml/2006/main" count="782" uniqueCount="409">
  <si>
    <t>Caso de Prueba</t>
  </si>
  <si>
    <t>Resultado Esperado</t>
  </si>
  <si>
    <t>Crítico</t>
  </si>
  <si>
    <t>Acierto</t>
  </si>
  <si>
    <t>Error</t>
  </si>
  <si>
    <t>X</t>
  </si>
  <si>
    <t>F</t>
  </si>
  <si>
    <t>Pasos</t>
  </si>
  <si>
    <t>Resultado</t>
  </si>
  <si>
    <t>Aplicación</t>
  </si>
  <si>
    <t>Funcionalidad</t>
  </si>
  <si>
    <t>Inserta Fila(s)</t>
  </si>
  <si>
    <t>Eliminar Fila(s)</t>
  </si>
  <si>
    <t>Precondiciones</t>
  </si>
  <si>
    <t>Set de Datos</t>
  </si>
  <si>
    <t>Orientado a</t>
  </si>
  <si>
    <t>DESCRIPCIÓN DEL CASO</t>
  </si>
  <si>
    <t>EJECUCIÓN</t>
  </si>
  <si>
    <t>Última Ejecución</t>
  </si>
  <si>
    <t>Observaciones</t>
  </si>
  <si>
    <t>RESULTADOS</t>
  </si>
  <si>
    <t>Duración</t>
  </si>
  <si>
    <t>Fechas</t>
  </si>
  <si>
    <t>Diseño</t>
  </si>
  <si>
    <t>Ejecución</t>
  </si>
  <si>
    <t>% Ejecución</t>
  </si>
  <si>
    <t>Incidentes</t>
  </si>
  <si>
    <t>ID´s</t>
  </si>
  <si>
    <t>Información del Proyecto</t>
  </si>
  <si>
    <t>Nombre</t>
  </si>
  <si>
    <t>Alcance</t>
  </si>
  <si>
    <t>HU</t>
  </si>
  <si>
    <t xml:space="preserve"> Caso</t>
  </si>
  <si>
    <t>Aplicativo</t>
  </si>
  <si>
    <t>Solution Owner (SO-PO-BRM)</t>
  </si>
  <si>
    <t>Equipo de QC</t>
  </si>
  <si>
    <t>Equipo de Desarrollo</t>
  </si>
  <si>
    <t>Fecha de inicio</t>
  </si>
  <si>
    <t>Fecha de fin</t>
  </si>
  <si>
    <t>Plan</t>
  </si>
  <si>
    <t>Cierre</t>
  </si>
  <si>
    <t>T. Estim</t>
  </si>
  <si>
    <t>TIEMPOS</t>
  </si>
  <si>
    <t>GENERAL</t>
  </si>
  <si>
    <t>F. Inicio</t>
  </si>
  <si>
    <t>F. Fin Est</t>
  </si>
  <si>
    <t>F. Fin Real</t>
  </si>
  <si>
    <t>Resumen  de Tiempos</t>
  </si>
  <si>
    <t>Generales</t>
  </si>
  <si>
    <t>Riesgos y Probabilidad de Desface</t>
  </si>
  <si>
    <t>T. Total PD</t>
  </si>
  <si>
    <t>Tipo de Aplicación</t>
  </si>
  <si>
    <t>Horas por día</t>
  </si>
  <si>
    <t>Información del Ambiente</t>
  </si>
  <si>
    <t>Información del Proyecto y Equipo</t>
  </si>
  <si>
    <t>Maquina Cliente</t>
  </si>
  <si>
    <t>Sistema Operativo de PC Cliente</t>
  </si>
  <si>
    <t>Sistema Operativo de Servidor</t>
  </si>
  <si>
    <t>Se debe actualizar la aplicación cliente</t>
  </si>
  <si>
    <t>Responsable de ambiente PC Cliente</t>
  </si>
  <si>
    <t>Responsable de ambiente Servidor</t>
  </si>
  <si>
    <t>Esta Aprovisionado</t>
  </si>
  <si>
    <t>Esta disponible</t>
  </si>
  <si>
    <t>Observaciones y Recomendaciones</t>
  </si>
  <si>
    <t>Arquitecto de ATI</t>
  </si>
  <si>
    <t>Gestor de Servicios</t>
  </si>
  <si>
    <t>Tiempos y Fechas</t>
  </si>
  <si>
    <t>Horas por Día</t>
  </si>
  <si>
    <t>Resumen de Planeación de Pruebas (QC)</t>
  </si>
  <si>
    <t>Impacto</t>
  </si>
  <si>
    <t>Probabilidad</t>
  </si>
  <si>
    <t>Propuesta de Mitigación</t>
  </si>
  <si>
    <t>Fecha de reporte</t>
  </si>
  <si>
    <t>Actividades y Observaciones</t>
  </si>
  <si>
    <t>Tiempo Invertido</t>
  </si>
  <si>
    <t>T. Inv</t>
  </si>
  <si>
    <t>T. Disp</t>
  </si>
  <si>
    <t>T. Desf</t>
  </si>
  <si>
    <t>Resumen de tiempos</t>
  </si>
  <si>
    <t>% Desf</t>
  </si>
  <si>
    <t>Resumen de Casos por HU</t>
  </si>
  <si>
    <t>Manual</t>
  </si>
  <si>
    <t>Auto</t>
  </si>
  <si>
    <t>Reutilizados</t>
  </si>
  <si>
    <t>Pendientes</t>
  </si>
  <si>
    <t>Total Eje</t>
  </si>
  <si>
    <t>Total Dis</t>
  </si>
  <si>
    <t>Resumen General de Incidentes</t>
  </si>
  <si>
    <t>Estado</t>
  </si>
  <si>
    <t>Abierto</t>
  </si>
  <si>
    <t>En Proceso</t>
  </si>
  <si>
    <t>Resuelto</t>
  </si>
  <si>
    <t>Reabierto</t>
  </si>
  <si>
    <t>Cerrado</t>
  </si>
  <si>
    <t>Tipo</t>
  </si>
  <si>
    <t>Naturaleza</t>
  </si>
  <si>
    <t>Resumen General de Desfaces</t>
  </si>
  <si>
    <t>Desfaces</t>
  </si>
  <si>
    <t>Hallazgo</t>
  </si>
  <si>
    <t>Bajo</t>
  </si>
  <si>
    <t>Medio</t>
  </si>
  <si>
    <t>Alto</t>
  </si>
  <si>
    <t>Critico</t>
  </si>
  <si>
    <t>Funcional</t>
  </si>
  <si>
    <t>Document</t>
  </si>
  <si>
    <t>Usabilidad</t>
  </si>
  <si>
    <t>Seguridad</t>
  </si>
  <si>
    <t>Detalle</t>
  </si>
  <si>
    <t>Fecha</t>
  </si>
  <si>
    <t>Planeación  de Tiempos</t>
  </si>
  <si>
    <t>Carta de Certificación de Calidad (QC)</t>
  </si>
  <si>
    <t>Detalles de la Entrega</t>
  </si>
  <si>
    <t>Personas que Deben Ser Informadas</t>
  </si>
  <si>
    <t>Versionamiento de la Entrega</t>
  </si>
  <si>
    <t>Tipo de Certificación</t>
  </si>
  <si>
    <t>Completa</t>
  </si>
  <si>
    <t>Condicionada</t>
  </si>
  <si>
    <t>Recomendaciones Adicionales</t>
  </si>
  <si>
    <t>Certificado Por</t>
  </si>
  <si>
    <t>Analista de Control de Calidad</t>
  </si>
  <si>
    <t>Desktop</t>
  </si>
  <si>
    <t>W10</t>
  </si>
  <si>
    <t>N/A</t>
  </si>
  <si>
    <t>Versión en Certificación</t>
  </si>
  <si>
    <t>Selección</t>
  </si>
  <si>
    <t>SI</t>
  </si>
  <si>
    <t>No</t>
  </si>
  <si>
    <t>Tipo Aplicación</t>
  </si>
  <si>
    <t>Web</t>
  </si>
  <si>
    <t>Servicios</t>
  </si>
  <si>
    <t>Alcance / HU a Trabajar</t>
  </si>
  <si>
    <t>Título</t>
  </si>
  <si>
    <t>Refinada</t>
  </si>
  <si>
    <t>Tuleap?</t>
  </si>
  <si>
    <t>Incidente</t>
  </si>
  <si>
    <t>Mejora</t>
  </si>
  <si>
    <t>Orientación</t>
  </si>
  <si>
    <t>Tipo HU</t>
  </si>
  <si>
    <t>Spike</t>
  </si>
  <si>
    <t>SO</t>
  </si>
  <si>
    <t>W7</t>
  </si>
  <si>
    <t>Centos 6 - 7</t>
  </si>
  <si>
    <t>W8 - 8.1</t>
  </si>
  <si>
    <t>Motor BD</t>
  </si>
  <si>
    <t>PostgreSQL</t>
  </si>
  <si>
    <t>MS-SQL Server</t>
  </si>
  <si>
    <t>Informix</t>
  </si>
  <si>
    <t>Oracle</t>
  </si>
  <si>
    <t>Riesgos</t>
  </si>
  <si>
    <t>Falta de información (Neg - Tec)</t>
  </si>
  <si>
    <t>Inestabilidad del ambiente de prueba</t>
  </si>
  <si>
    <t>Cambios de alcance</t>
  </si>
  <si>
    <t>Eventos externos al proyecto</t>
  </si>
  <si>
    <t>Actividades no planeadas de proyecto</t>
  </si>
  <si>
    <t>Categoría de Riesgo</t>
  </si>
  <si>
    <t>Título HU</t>
  </si>
  <si>
    <t>Descripción del riesgo</t>
  </si>
  <si>
    <t>Info General</t>
  </si>
  <si>
    <t>Riesgos y PD</t>
  </si>
  <si>
    <t>Casos de Prueba</t>
  </si>
  <si>
    <t>Incidentes del Proyecto por HU</t>
  </si>
  <si>
    <t>FIN</t>
  </si>
  <si>
    <t>INI</t>
  </si>
  <si>
    <t>Ejecución  de Tiempos</t>
  </si>
  <si>
    <t>CONTROL DE TIEMPOS</t>
  </si>
  <si>
    <t>Planeados</t>
  </si>
  <si>
    <t>Ejecutados</t>
  </si>
  <si>
    <t>T. Ejec</t>
  </si>
  <si>
    <t xml:space="preserve">Este documento se envía el día </t>
  </si>
  <si>
    <t>1. Bajo</t>
  </si>
  <si>
    <t>2. Medio</t>
  </si>
  <si>
    <t>3. Alto</t>
  </si>
  <si>
    <t>4. Crítico</t>
  </si>
  <si>
    <t>W</t>
  </si>
  <si>
    <t>VI</t>
  </si>
  <si>
    <t>Actividades no planeadas</t>
  </si>
  <si>
    <t>Incumplimiento en entregas (App - Inc)</t>
  </si>
  <si>
    <t>Novedades del equipo de trabajo</t>
  </si>
  <si>
    <t>Calidad de la aplicación recibida</t>
  </si>
  <si>
    <t>Control de versiones</t>
  </si>
  <si>
    <t>Calidad del set de datos</t>
  </si>
  <si>
    <t>Im</t>
  </si>
  <si>
    <t>Riesgo</t>
  </si>
  <si>
    <t>HxD</t>
  </si>
  <si>
    <t>Dias Est</t>
  </si>
  <si>
    <t>Dias T</t>
  </si>
  <si>
    <t>Fecha de finalización máxima</t>
  </si>
  <si>
    <t>Desface</t>
  </si>
  <si>
    <t>Pendientes de Ejecución</t>
  </si>
  <si>
    <t>CPMD</t>
  </si>
  <si>
    <t>Casos de Pruebas por HU</t>
  </si>
  <si>
    <t>%In</t>
  </si>
  <si>
    <t>Versión Certificada</t>
  </si>
  <si>
    <t>Funcionalidad Principal</t>
  </si>
  <si>
    <t>; como constancia del tipo de certificación de la(s) historia(s) de usuario (HU) listadas, luego de superar satisfactoriamente el proceso de control de calidad de software al cual fue(ron) sometida(s).</t>
  </si>
  <si>
    <t>Constancia de certificación</t>
  </si>
  <si>
    <t>Resumen de Avances por Tiempo</t>
  </si>
  <si>
    <t>Ok</t>
  </si>
  <si>
    <t>FAIL</t>
  </si>
  <si>
    <t>Fail</t>
  </si>
  <si>
    <t>Ejecución Fallida</t>
  </si>
  <si>
    <t>Criticos</t>
  </si>
  <si>
    <t>Casos Críticos</t>
  </si>
  <si>
    <t>Dias Festivos</t>
  </si>
  <si>
    <t>Probabilidad Desface</t>
  </si>
  <si>
    <t>En proc</t>
  </si>
  <si>
    <t>Cantidad</t>
  </si>
  <si>
    <t>.</t>
  </si>
  <si>
    <t>Indicador de incidentes</t>
  </si>
  <si>
    <t>Indicador de reapertura</t>
  </si>
  <si>
    <t>Totales</t>
  </si>
  <si>
    <t>Reabiert</t>
  </si>
  <si>
    <t>Grafico</t>
  </si>
  <si>
    <t>Total</t>
  </si>
  <si>
    <t>Gráfico</t>
  </si>
  <si>
    <t xml:space="preserve">Error </t>
  </si>
  <si>
    <t>Sug/Mejora</t>
  </si>
  <si>
    <t>Documentac</t>
  </si>
  <si>
    <t>Cancelada</t>
  </si>
  <si>
    <t>Versión a Certificar</t>
  </si>
  <si>
    <t>Analista de Datos y Analítica</t>
  </si>
  <si>
    <t>Versión de Motor de BD en PC Cliente</t>
  </si>
  <si>
    <t>Versión de Motor de BD en Servidor</t>
  </si>
  <si>
    <t>Categoría de Riesgo Materializado</t>
  </si>
  <si>
    <t>% Incidentes</t>
  </si>
  <si>
    <t>Categorías de Riesgo</t>
  </si>
  <si>
    <t>Gestión de incidentes</t>
  </si>
  <si>
    <t>Gestión de impedimentos</t>
  </si>
  <si>
    <t>Reporte de Seguimiento de Pruebas (QC)</t>
  </si>
  <si>
    <t>Versión de PDN</t>
  </si>
  <si>
    <t>Versión Recibida en QC</t>
  </si>
  <si>
    <t>Actividades Generales</t>
  </si>
  <si>
    <t>BÁSICA</t>
  </si>
  <si>
    <t>ID Act</t>
  </si>
  <si>
    <t>Nombre Actividad</t>
  </si>
  <si>
    <t>T. Estimado</t>
  </si>
  <si>
    <t>Cantidad HU</t>
  </si>
  <si>
    <t>Comité de Calidad</t>
  </si>
  <si>
    <t>Refinamiento de alcance</t>
  </si>
  <si>
    <t>Planeación</t>
  </si>
  <si>
    <t>Daily de Célula</t>
  </si>
  <si>
    <t>Review</t>
  </si>
  <si>
    <t>Retrospectiva</t>
  </si>
  <si>
    <t>T. Por HU</t>
  </si>
  <si>
    <t>Tiempo Total por Actividades por HU</t>
  </si>
  <si>
    <t>Act. Gen</t>
  </si>
  <si>
    <t>Detalle de Tiempos por Fechas</t>
  </si>
  <si>
    <t>T. Estimado HU</t>
  </si>
  <si>
    <t>T. Invertido</t>
  </si>
  <si>
    <t>T. Invertido HU</t>
  </si>
  <si>
    <t>ini</t>
  </si>
  <si>
    <t>fin</t>
  </si>
  <si>
    <t>Plan MP</t>
  </si>
  <si>
    <t>Diseño MP</t>
  </si>
  <si>
    <t>Ejec MP</t>
  </si>
  <si>
    <t>Cierra MP</t>
  </si>
  <si>
    <t>T. Total MP</t>
  </si>
  <si>
    <t>Tiempos Más Probables</t>
  </si>
  <si>
    <t>Tiempos Estimados</t>
  </si>
  <si>
    <t>F. Fin MP</t>
  </si>
  <si>
    <t>Tiempo Más Probable (MP)</t>
  </si>
  <si>
    <t>Más Probables</t>
  </si>
  <si>
    <t>Wserver</t>
  </si>
  <si>
    <t>Ejec</t>
  </si>
  <si>
    <t>Riesgos y Prob. de Desface</t>
  </si>
  <si>
    <t>% Prob. Desface</t>
  </si>
  <si>
    <t>OK</t>
  </si>
  <si>
    <t>Tiempos totales</t>
  </si>
  <si>
    <t>Tiempos Totales</t>
  </si>
  <si>
    <t>ID</t>
  </si>
  <si>
    <t>Categoría</t>
  </si>
  <si>
    <t>Descripción</t>
  </si>
  <si>
    <t>% Ocurrencia</t>
  </si>
  <si>
    <t>Valoración</t>
  </si>
  <si>
    <t>Responsable</t>
  </si>
  <si>
    <t>Propuesta Mitigación</t>
  </si>
  <si>
    <t>Plan/Act</t>
  </si>
  <si>
    <t>Fecha de finalización estimada</t>
  </si>
  <si>
    <t>TIEMPO TOTAL DESFASE</t>
  </si>
  <si>
    <t>Aplicativo y Funcionalidad</t>
  </si>
  <si>
    <t>Fecha de planeación</t>
  </si>
  <si>
    <t>Base</t>
  </si>
  <si>
    <t xml:space="preserve"> </t>
  </si>
  <si>
    <t>Nombre del proyecto</t>
  </si>
  <si>
    <t>ID en Proyecto</t>
  </si>
  <si>
    <t>Director de Control de Calidad de Software</t>
  </si>
  <si>
    <t>Prueba Técnica DevCo Ingeniero de pruebas</t>
  </si>
  <si>
    <t>Travelocity</t>
  </si>
  <si>
    <t>Devco</t>
  </si>
  <si>
    <t>Vanessa Agudelo Marín</t>
  </si>
  <si>
    <t>Generar diferentes tipos de reservas como hoteles, vuelos, alquiler de vehículos, paquetes y actividades turisticas, de acuerdo a la necesidad de cada cliente</t>
  </si>
  <si>
    <t>HU-001</t>
  </si>
  <si>
    <t>HU-002</t>
  </si>
  <si>
    <t>CP_001</t>
  </si>
  <si>
    <t>Desconocida</t>
  </si>
  <si>
    <t>vagudelo</t>
  </si>
  <si>
    <t>Cambio de alcance del proyecto, bien sea por parte del negocio, del Product Owner durante la ejecución del proyecto</t>
  </si>
  <si>
    <t>Falta de información acerca del negocio y de los criterios de aceptación de las funcionalidades a certificar</t>
  </si>
  <si>
    <t>Participar activamente con el equipo de desarrollo en las ceremonias de planning buscando aclarar todos los posibles detalles que pueda tener la solución además de generar todas las alertas posibles sobre conceptos que el negocio pueda estar omitiendo en el requerimiento basándonos tanto en los conocimientos técnicos como del negocio</t>
  </si>
  <si>
    <t>Establecer buenos canales de comunicación con la PO y el equipo de desarrollo para resolver dudas con especial énfasis en el planning.
Recibir las contextualizaciones necesarias para la manipulación del aplicativo</t>
  </si>
  <si>
    <t>HU-003</t>
  </si>
  <si>
    <t>Busqueda de Actividades turisticas</t>
  </si>
  <si>
    <t>HU-004</t>
  </si>
  <si>
    <t>Reserva de autos</t>
  </si>
  <si>
    <t>Reserva de hoteles</t>
  </si>
  <si>
    <r>
      <t xml:space="preserve">Yo como usuario de Travelocity deseo poder consultar las actividades turisticas de un destino y en unas fechas predeterminadas, este debe estar disponible en la página principal opción Actividades
</t>
    </r>
    <r>
      <rPr>
        <b/>
        <u/>
        <sz val="10"/>
        <color theme="1"/>
        <rFont val="Calibri"/>
        <family val="2"/>
        <scheme val="minor"/>
      </rPr>
      <t>CRITERIOS DE ACEPTACIÓN:</t>
    </r>
    <r>
      <rPr>
        <sz val="10"/>
        <color theme="1"/>
        <rFont val="Calibri"/>
        <family val="2"/>
        <scheme val="minor"/>
      </rPr>
      <t xml:space="preserve">
Los campos que requiere para esta funcionalidad son:
Actividades en (Corresponde al destino debe tener disponible cualquier ubicación mundial)
Del (campo tipo fecha) - indica la fecha de inicio de activdades
Al (campo tipo fecha) - indica la fecha de fin de actividades
Botón buscar.
Debe mostrar el listado de actividades disponibles, en caso de no haber ninguna actividad, debe indicarle al usuario el siguiente mensaje:
</t>
    </r>
    <r>
      <rPr>
        <b/>
        <sz val="10"/>
        <color theme="1"/>
        <rFont val="Calibri"/>
        <family val="2"/>
        <scheme val="minor"/>
      </rPr>
      <t>No se encontraron activiades para tus fechas de viaje.
Intenta con fechas diferentes.</t>
    </r>
  </si>
  <si>
    <r>
      <t xml:space="preserve">Yo como usuario de Travelocity deseo poder realizar la renta de un auto
</t>
    </r>
    <r>
      <rPr>
        <b/>
        <u/>
        <sz val="10"/>
        <color theme="1"/>
        <rFont val="Calibri"/>
        <family val="2"/>
        <scheme val="minor"/>
      </rPr>
      <t>CRITERIOS DE ACEPTACIÓN:</t>
    </r>
    <r>
      <rPr>
        <sz val="10"/>
        <color theme="1"/>
        <rFont val="Calibri"/>
        <family val="2"/>
        <scheme val="minor"/>
      </rPr>
      <t xml:space="preserve">
Los campos que requiere el sistema son:
Entrega (Lugar en donde se entregará el vehículo - ubicación mundial)
Devolución (Lugar en donde se devolverá el vehículo - ubicación mundial)
Fecha de entrega
Fecha de devolución
Hora de entrega (hora militar - con 15 minutos de diferencia entre rangos)
Hora de devolución (hora militar - con 15 minutos de diferencia entre rangos)
Checkobox para incluir tarifas a socios AARP
Opción para ingresar código de descuento (Este debe mostrar un listado de arrendadoras, al seleccionar la arrendarora, debe mostrar lista desplegable del tipo de descuento)
Las opciones de tipo de descuento son:
- No tengo ningun código
- Corportativo o contratado (solicita código)
- Especial o promocional (solicita código de tarifa y código de cupón)
Botón buscar</t>
    </r>
  </si>
  <si>
    <t>Acceso a la plataforma Travelocity</t>
  </si>
  <si>
    <r>
      <t xml:space="preserve">Yo como usuario de Travelocity deseo poder acceder a la plataforma </t>
    </r>
    <r>
      <rPr>
        <b/>
        <u/>
        <sz val="10"/>
        <color theme="4"/>
        <rFont val="Calibri"/>
        <family val="2"/>
        <scheme val="minor"/>
      </rPr>
      <t xml:space="preserve">www.travelocity.com
</t>
    </r>
    <r>
      <rPr>
        <b/>
        <u/>
        <sz val="10"/>
        <rFont val="Calibri"/>
        <family val="2"/>
        <scheme val="minor"/>
      </rPr>
      <t>CRITERIOS DE ACEPTACIÓN:</t>
    </r>
    <r>
      <rPr>
        <b/>
        <u/>
        <sz val="10"/>
        <color theme="4"/>
        <rFont val="Calibri"/>
        <family val="2"/>
        <scheme val="minor"/>
      </rPr>
      <t xml:space="preserve">
</t>
    </r>
    <r>
      <rPr>
        <sz val="10"/>
        <rFont val="Calibri"/>
        <family val="2"/>
        <scheme val="minor"/>
      </rPr>
      <t>P</t>
    </r>
    <r>
      <rPr>
        <sz val="10"/>
        <color theme="1"/>
        <rFont val="Calibri"/>
        <family val="2"/>
        <scheme val="minor"/>
      </rPr>
      <t>oder realizar diferentes tipos de reservas como:
- Reservar Hoteles
- Reservar Vuelos
- Reservar Autos
- Reservar Paquetes
- Actividades
Adicionalmente en la página inicial deseo tener disponible las siguientes opciones:
Más opciones de viaje (Lista desplegable)
Español/Ingles (opción para cambiar el idioma de la página)
Anunciar propiedad
Atención al cliente
Mis viajes
Inicio de sesión</t>
    </r>
  </si>
  <si>
    <t>Verificar acceso a Travelocity</t>
  </si>
  <si>
    <t>Tener un navegador instalado
Tener acceso a internet</t>
  </si>
  <si>
    <t>Abrir  navegador (Ejm google chrome)
Ingresar a la siguiente URL
http://www.travelocity.com
Dar clic en ir o enter</t>
  </si>
  <si>
    <t>Cambiar Idioma de la página (Español)</t>
  </si>
  <si>
    <t>Ejecución CP_001</t>
  </si>
  <si>
    <t>No Aplica</t>
  </si>
  <si>
    <t>Dar clic en la opción Español del menú superior (menú azul)</t>
  </si>
  <si>
    <t>URL: www.travelocity.com|</t>
  </si>
  <si>
    <t>La página debe cargar exitosamente mostrando  las siguientes opciones disponibles:
- More travel (Lista desplegable)
- Español (opción para cambiar el idioma de la página)
- List your property
- Support
- Trips
- Sing in
- Hotels
- Flights
- Cars
- Packages
- Things to do
- Cruises</t>
  </si>
  <si>
    <t>La palabra Español debe cambiar a "English" y el lenguaje de la página debe quedar traducido a Español quedando la página inicial con las siguientes opciones traducidas:
- Más opciones de viaje (Lista desplegable)
- Español/Ingles (opción para cambiar el idioma de la página)
- Anunciar propiedad
- Atención al cliente
- Mis viajes
- Inicio de sesión
- Hoteles
- Vuelos
- Autos
- Paquetes
- Actividades
- Cruceros</t>
  </si>
  <si>
    <t>CP_002</t>
  </si>
  <si>
    <t>CP_003</t>
  </si>
  <si>
    <t>CP_004</t>
  </si>
  <si>
    <t>CP_005</t>
  </si>
  <si>
    <t>CP_006</t>
  </si>
  <si>
    <t>CP_007</t>
  </si>
  <si>
    <t>CP_008</t>
  </si>
  <si>
    <t>CP_009</t>
  </si>
  <si>
    <t>CP_010</t>
  </si>
  <si>
    <t>CP_011</t>
  </si>
  <si>
    <t>CP_012</t>
  </si>
  <si>
    <t>CP_013</t>
  </si>
  <si>
    <t>CP_014</t>
  </si>
  <si>
    <t>CP_015</t>
  </si>
  <si>
    <t>Crear nueva cuenta</t>
  </si>
  <si>
    <t>Ejecución CP_001 y CP_002</t>
  </si>
  <si>
    <t>Nombre: Vanessa
Apellido: Agudelo
Correo: correoprueba@gmail.com
Contraseña: Prueba123*</t>
  </si>
  <si>
    <t>Debe actualizar el campo que decía "Iniciar Sesión" por el nombre ingresado "Vanessa" que al seleccionarlo debe desplegar la siguiente lista:
- Mi cuenta
- Lista de favoritos
- Comentarios
- Cerrar sesión</t>
  </si>
  <si>
    <t>Consultar actividades San Andres, Providencia</t>
  </si>
  <si>
    <t>Actividades en: San Andrés
Del:   01 - Mayo - 2021
Al :    04 - Mayo - 2021</t>
  </si>
  <si>
    <t>No debe permitir seleccionar fechas anteriores al día actual</t>
  </si>
  <si>
    <t>Debe mostrar el listado de ofertas disponibles, o mostrar el siguiente mensaje si no hay actividades:
No se encontraron actividades para tus fechas de viaje.
Intenta con fechas diferentes.</t>
  </si>
  <si>
    <t>Actividades en: San Andrés y Providencia, Colombia
Del:   11 - Mayo - 2021
Al :    24 - Mayo - 2021</t>
  </si>
  <si>
    <t>Consultar actividades Madrid, España (MAD-Adolfo Suárez Madrid-Barajas)</t>
  </si>
  <si>
    <t>Actividades en: Madrid, España (MAD-Adolfo Suárez Madrid-Barajas)
Del:   1 - Jun - 2021
Al :    4 - Jun - 2021</t>
  </si>
  <si>
    <t>Muestra el mensaje:
No se encontraron actividades para tus fechas de viaje.
Intenta con fechas diferentes.</t>
  </si>
  <si>
    <t>Muestra agrupaciones y listado de diferentes tipos de actividades</t>
  </si>
  <si>
    <t>Seleccionar una actividad Favorita</t>
  </si>
  <si>
    <t>Listado de actividades y tours</t>
  </si>
  <si>
    <t>El icono de corazón debe cambiar a color rojo. Lo que indica que quedo seleccionado como favorito</t>
  </si>
  <si>
    <t>Verificar actividades favoritas seleccionadas en CP_007</t>
  </si>
  <si>
    <t>Actividades seleccionadas en el CP_007
Ejm: 
- Tour guiado de medio día por Toledo
- Tour por la ciudad de Madrid en turibús
- Excursión de un día a Toledo y Segovia con entrada al Alcázar</t>
  </si>
  <si>
    <t>Debe mostrar las actividades guardadas como favoritas en el CP_007 
Ejm:
- Tour guiado de medio día por Toledo
- Tour por la ciudad de Madrid en turibús
- Excursión de un día a Toledo y Segovia con entrada al Alcázar</t>
  </si>
  <si>
    <t>Aparecen correctamente los destinos seleccionados</t>
  </si>
  <si>
    <t>Realizada prueba con correo personal (Funciona adecuadamente)</t>
  </si>
  <si>
    <t>No permite la selección de fechas anteriores a la actual</t>
  </si>
  <si>
    <t>La página carga correctamente en navegador Chrome desde equipo portatil</t>
  </si>
  <si>
    <t>Agregar Actividades favoritas en una Lista</t>
  </si>
  <si>
    <t>Ejecución CP_007 (con sus precondiciones)</t>
  </si>
  <si>
    <t>Ejecución CP_007 (con sus precondiciones)
Ejecución CP_008 (con sus precondiciones)</t>
  </si>
  <si>
    <t>Listado de actividades y tours favoritos guardados en favoritos:
Ejm:
- Tour guiado de medio día por Toledo
- Tour por la ciudad de Madrid en turibús
- Excursión de un día a Toledo y Segovia con entrada al Alcázar</t>
  </si>
  <si>
    <t>Cada uno de los tours deben aparecer con la respectiva etiqueta en su parte inferior con el nombre de la Lista Creada.</t>
  </si>
  <si>
    <t>Los tours quedan correctamente etiquetados con la lista nueva creada</t>
  </si>
  <si>
    <t>Las actividades favoritas quedan correctamente identificadas con el icono de corazón en rojo</t>
  </si>
  <si>
    <t>La página se traduce correctamente cambiando del idioma inglés a español</t>
  </si>
  <si>
    <t>Una vez ejecutados los pasos del caso de prueba CP_008
Dar clic en el botón "Agregar a una lista" en el Tour guiado de medio día por Toledo
- Dar clic en el botón "Crear lista nueva + "
- Ingresar nombre:  Actividades Madrid - España
______________
- Dar clic en el botón "Agregar a una lista" en el Tour por la ciudad de Madrid en turibús 
- Seleccionar la lista "Actividades Madrid - España"
- Dar clic en el botón Listo
___________
- Dar clic en el botón "Agregar a una lista" en la Excursión de un día a Toledo y Segovia con entrada al Alcázar
- Seleccionar la lista "Actividades Madrid - España"
- Dar clic en el botón Listo</t>
  </si>
  <si>
    <t>Una vez ejecutados los pasos del caso de prueba CP_007
Seleccionar el nombre de usuario "Vanessa" ubicado en la esquina superior derecha de la página
Elegir la opción "Lista de favoritos" del menú desplegable</t>
  </si>
  <si>
    <t>Una vez ejecutados los pasos del caso de prueba CP_006
Seleccionar 3 de las actividades listadas en favoritas, dando clic en el icono de corazón ubicado en la esquina superior derecha de cada actividad
Ejm:
- Tour guiado de medio día por Toledo
- Tour por la ciudad de Madrid en turibús
- Excursión de un día a Toledo y Segovia con entrada al Alcázar</t>
  </si>
  <si>
    <t>Una vez ejecutados los pasos del caso de prueba CP_001 y CP_003 (Opcional)
Ingresar Destino en el campo "Actividades en"
Ingresar la fecha de inicio en el campo "Del"
Ingresar la fecha de fin en el campo "Al"
Dar clic en el botón buscar</t>
  </si>
  <si>
    <t>Ejecución CP_006 (con sus precondiciones)
Ejecución CP_003 - obligatorio</t>
  </si>
  <si>
    <t>Una vez ejecutados los pasos del caso de prueba CP_001
Ingresar Destino en el campo "Actividades en"
Ingresar la fecha de inicio en el campo "Del"
Ingresar la fecha de fin en el campo "Al"
Dar clic en el botón buscar</t>
  </si>
  <si>
    <t>Una vez ejecutados los pasos del caso de prueba CP_001 
Ingresar Destino en el campo "Actividades en"
Ingresar la fecha de inicio en el campo "Del"
Ingresar la fecha de fin en el campo "Al"
Dar clic en el botón buscar</t>
  </si>
  <si>
    <t xml:space="preserve">Una vez ejecutados los pasos del caso de prueba CP_001
Dar clic en Iniciar Sesión
Dar clic en la opción "Crear cuenta gratis" (Sale mensaje para confirmar que no eres un robot)
Dar clic en la opción Verificar y seguir las instrucciones de verificación (ejm selección de rompecabezas)
Diligenciar formulario
Ingresar nombre
Ingresar apellido
Ingresar contraseña 
Confirmar contraseña
Seleccionar check box (Deseo recibir correos) - opcional
Seleccionar check box (Leý y aceptos terminos)
Dar clic en el botón - CREAR CUENTA
</t>
  </si>
  <si>
    <t>HU_003</t>
  </si>
  <si>
    <t>Ejecución CP_001
Ejecución CP_003 (Opcional para consultar)</t>
  </si>
  <si>
    <t>Ejecución CP_001
Ejecución CP_003 (Opcional - para consultar)</t>
  </si>
  <si>
    <t>Consultar autos - Traslado del/al aeropuerto (ida y regreso)</t>
  </si>
  <si>
    <t>Debe mostrar opciones de traslado si las hay, o el mensaje: 
No se encontraron traslados del aeropuerto XXX al hotel XXXX para el (fecha indicada)</t>
  </si>
  <si>
    <t>No se encuentras traslados para el set de datos indicado</t>
  </si>
  <si>
    <r>
      <t>Jornada laboral, incluyendo tiempos extra por cierre de mes, reuniones de definición de nuevos proyectos y certificaciones de facturación electrónica</t>
    </r>
    <r>
      <rPr>
        <sz val="11"/>
        <color rgb="FFFF0000"/>
        <rFont val="Calibri"/>
        <family val="2"/>
        <scheme val="minor"/>
      </rPr>
      <t xml:space="preserve"> (8:00 am - 9:45 pm)
Tiempo dedicado al proyecto DEVCO 10:00 pm - 12:30 am (2,5 horas)</t>
    </r>
  </si>
  <si>
    <r>
      <t>Jornada laboral, incluyendo tiempos extra por cierre de mes, reuniones de definición de nuevos proyectos y certificaciones de facturación electrónica</t>
    </r>
    <r>
      <rPr>
        <sz val="11"/>
        <color rgb="FFFF0000"/>
        <rFont val="Calibri"/>
        <family val="2"/>
        <scheme val="minor"/>
      </rPr>
      <t xml:space="preserve"> (7:00 am - 10:30 pm)
Tiempo dedicado al proyecto DEVCO 10:30 pm - 1:30 am (3 horas)</t>
    </r>
  </si>
  <si>
    <r>
      <t xml:space="preserve">Jornada laboral, incluyendo tiempos extra por cierre de mes, reuniones de definición de nuevos proyectos y certificaciones de facturación electrónica </t>
    </r>
    <r>
      <rPr>
        <sz val="11"/>
        <color rgb="FFFF0000"/>
        <rFont val="Calibri"/>
        <family val="2"/>
        <scheme val="minor"/>
      </rPr>
      <t>(7:00 am - 11:00 pm)
Tiempo dedicado al proyecto DEVCO 11:00 pm - 1:30 am (2,5 horas)</t>
    </r>
  </si>
  <si>
    <t>Ejecución CP_001
Ejecución CP_003</t>
  </si>
  <si>
    <t>Ingresar opción Autos</t>
  </si>
  <si>
    <t>Opción 1:
Una vez ejecutado el CP_001 
Seleccionar opción Autos 
Opción 2:
Despues de ejecutado el CP_009 o estándo en otra opción de la página web, seleccionar la opción - Más opciones de viaje y dar clic en la opción de autos Autos</t>
  </si>
  <si>
    <t>Debe cargar la página de AUTOS mostrando la siguiente información:
- Título de página (Busca renta de autos)
- Pestaña Renta de autos
- Pestaña Traslado de/al aeropuerto
- Campo Entrega
- Campo Devolución
- Campo Fecha de entrega
- Campo Fecha de devolución
- Campo Hora de entrega
- Campo Hota de devolución
- Checkbox Tarifas socios AARP
- Opción Tengo código de descuento
- Botón buscar</t>
  </si>
  <si>
    <r>
      <t xml:space="preserve">Una vez ejecutado el CP_010 (estando en la página de autos)
</t>
    </r>
    <r>
      <rPr>
        <sz val="10"/>
        <color theme="1"/>
        <rFont val="Calibri"/>
        <family val="2"/>
        <scheme val="minor"/>
      </rPr>
      <t xml:space="preserve">
- Seleccionar la pestaña "Traslado del/al aeropuerto"
- Seleccionar checkbox "Reservar ida y vuelta" 
- Ingresar Aeropuerto
- Ingresar Hotel
- Ingresar Fecha de llegada del vuelo
- Ingresar hora de llegada del vuelo
- Ingresar Fecha de regreso del vuelo
- Ingresar hora de regreso del vuelo
</t>
    </r>
  </si>
  <si>
    <t>Consultar autos - Renta de autos (sin tarifa de socios, sin código de descuento)</t>
  </si>
  <si>
    <t>Debe mostrar el listado de los vehículos disponibles de acuerdo a los parámentros de búsqueda.</t>
  </si>
  <si>
    <t>Muestra correctamente un listado de autos, ubicados en la ciudad indicada</t>
  </si>
  <si>
    <t>Una vez ejecutado el CP_010 (estando en la página de autos)
- Seleccionar la pestaña "Renta de autos"
- Ingresar Entrega
- Ingresar Devolución
- Ingresar Fecha de Entrega
- Ingresar Fecha de Devolución
- Ingresar Hora de Entrega
- Ingresar Hora de Devolución
- Dar clic en el botón Buscar</t>
  </si>
  <si>
    <t>HU_004</t>
  </si>
  <si>
    <t>Ingresar opción Hoteles</t>
  </si>
  <si>
    <t>Debe cargar la página de HOTELES mostrando la siguiente información:
- Destino (ubicaciones en mapa)
- Check-in (campo tipo fecha)
- Check-out (campo tipo fecha
- Personas (Este debe permitir, agregar habitaciones, y por cada habitación debera permitir agregar adultos y niños (maximo 14 adultos y 7 niños. Por habitación solo se puede reservar 14 personas).
- Checkbox Agregar un Vuelo
- Checkbox Agregar un Auto
- Botón buscar</t>
  </si>
  <si>
    <r>
      <t xml:space="preserve">Yo como usuario de Travelocity deseo poder consultar los hoteles disponibles para reservar a un determinado destino turistico, donde adicionalmente pueda tener la opción de agregar vuelo y/o auto
</t>
    </r>
    <r>
      <rPr>
        <b/>
        <u/>
        <sz val="10"/>
        <color theme="1"/>
        <rFont val="Calibri"/>
        <family val="2"/>
        <scheme val="minor"/>
      </rPr>
      <t>CRITERIOS DE ACEPTACIÓN:</t>
    </r>
    <r>
      <rPr>
        <sz val="10"/>
        <color theme="1"/>
        <rFont val="Calibri"/>
        <family val="2"/>
        <scheme val="minor"/>
      </rPr>
      <t xml:space="preserve">
Los campos que requiere el sistema son:
- Destino (ubicaciones en mapa)
- Check-in (campo tipo fecha)
- Check-out (campo tipo fecha
- Personas (Este debe permitir, agregar habitaciones, y por cada habitación debera permitir agregar adultos y niños (maximo 14 adultos y 7 niños. Por habitación solo se puede reservar 14 personas).
- Checkbox Agregar un Vuelo
- Checkbox Agregar un Auto
- Botón buscar</t>
    </r>
  </si>
  <si>
    <t>Consultar Hoteles en San Andres (Sin vuelo - Sin Auto)</t>
  </si>
  <si>
    <t>Ejecución CP_013</t>
  </si>
  <si>
    <t>* Entrega: Medellín
* Devolución: Medellín
* Fecha de Entrega: 6 Junio 2021
* Fecha de Devolución: 7 Junio 2021
* Hora de Entrega: 8:00 
* Hora de Devolución: 20:00</t>
  </si>
  <si>
    <r>
      <rPr>
        <u/>
        <sz val="10"/>
        <color theme="1"/>
        <rFont val="Calibri"/>
        <family val="2"/>
        <scheme val="minor"/>
      </rPr>
      <t xml:space="preserve">Aeropuerto: </t>
    </r>
    <r>
      <rPr>
        <sz val="10"/>
        <color theme="1"/>
        <rFont val="Calibri"/>
        <family val="2"/>
        <scheme val="minor"/>
      </rPr>
      <t xml:space="preserve">Madrid (MAD - Adolfo Suárez Madrid-Barajas)
</t>
    </r>
    <r>
      <rPr>
        <u/>
        <sz val="10"/>
        <color theme="1"/>
        <rFont val="Calibri"/>
        <family val="2"/>
        <scheme val="minor"/>
      </rPr>
      <t xml:space="preserve">Hotel: </t>
    </r>
    <r>
      <rPr>
        <sz val="10"/>
        <color theme="1"/>
        <rFont val="Calibri"/>
        <family val="2"/>
        <scheme val="minor"/>
      </rPr>
      <t xml:space="preserve">Antonio Acuña II
</t>
    </r>
    <r>
      <rPr>
        <u/>
        <sz val="10"/>
        <color theme="1"/>
        <rFont val="Calibri"/>
        <family val="2"/>
        <scheme val="minor"/>
      </rPr>
      <t>Fecha llegada vuelo:</t>
    </r>
    <r>
      <rPr>
        <sz val="10"/>
        <color theme="1"/>
        <rFont val="Calibri"/>
        <family val="2"/>
        <scheme val="minor"/>
      </rPr>
      <t xml:space="preserve"> 1 Junio 2021
</t>
    </r>
    <r>
      <rPr>
        <u/>
        <sz val="10"/>
        <color theme="1"/>
        <rFont val="Calibri"/>
        <family val="2"/>
        <scheme val="minor"/>
      </rPr>
      <t>Hora legada vuelo:</t>
    </r>
    <r>
      <rPr>
        <sz val="10"/>
        <color theme="1"/>
        <rFont val="Calibri"/>
        <family val="2"/>
        <scheme val="minor"/>
      </rPr>
      <t xml:space="preserve"> 10:30
</t>
    </r>
    <r>
      <rPr>
        <u/>
        <sz val="10"/>
        <color theme="1"/>
        <rFont val="Calibri"/>
        <family val="2"/>
        <scheme val="minor"/>
      </rPr>
      <t>Fecha regreso vuelo:</t>
    </r>
    <r>
      <rPr>
        <sz val="10"/>
        <color theme="1"/>
        <rFont val="Calibri"/>
        <family val="2"/>
        <scheme val="minor"/>
      </rPr>
      <t xml:space="preserve">  4 Junio 2021
</t>
    </r>
    <r>
      <rPr>
        <u/>
        <sz val="10"/>
        <color theme="1"/>
        <rFont val="Calibri"/>
        <family val="2"/>
        <scheme val="minor"/>
      </rPr>
      <t xml:space="preserve">Hora regreso vuelo: </t>
    </r>
    <r>
      <rPr>
        <sz val="10"/>
        <color theme="1"/>
        <rFont val="Calibri"/>
        <family val="2"/>
        <scheme val="minor"/>
      </rPr>
      <t>20:00</t>
    </r>
  </si>
  <si>
    <t>Destino: San Andrés
Check in: 24 Septiembre 2021
Check out: 28 Septiembre 2021
Personas: 1 habitación - 2 personas adultas.</t>
  </si>
  <si>
    <t>Opción 1:
Una vez ejecutado el CP_001 
Seleccionar opción Hoteles 
Opción 2:
Despues de ejecutado el CP_012 o estándo en otra opción de la página web, seleccionar la opción - Más opciones de viaje y dar clic en la opción de autos Hoteles</t>
  </si>
  <si>
    <t>Una vez ejcutado el CP_013
Ingresar Destino
Ingresar Check-in
Ingresar Check-out
Ingresar Personas y habitaciones
Dar clic en el botón Buscar</t>
  </si>
  <si>
    <t>Debe mostrar el Listado de hoteles disponibles en la plataforma de acuerdo al Destino ingresado.</t>
  </si>
  <si>
    <t>Ejecución CP_014</t>
  </si>
  <si>
    <t>Filtro: Todo Incluido
Hotel: Decameron Isleño - All Inclusive</t>
  </si>
  <si>
    <t>Agregar Hotel a Favoritos y Verificarlo</t>
  </si>
  <si>
    <t>Una vez ejecutado el CP_014
Ubicarse en la sección de filtros y seleccionar "Todo Incluido"
Dar clic sobre el icono de corazón en el Hotel: Decameron Isleño - All Inclusive para agregar a favoritos
- Dar clic en el nombre de usuario "Vanessa" ubicado en la parte superior derecha
- Dar clic en Lista de Favoritos</t>
  </si>
  <si>
    <t>El hotel Decameron Isleño - All Inclusive debe aparecer en la sección de Lista de favoritos (Sección Hoteles)</t>
  </si>
  <si>
    <r>
      <t xml:space="preserve">Jornada laboral, incluyendo tiempos extra por cierre de mes, revisiones de incidentes en ambientes productivos, reuniones de definición de nuevos proyectos y certificaciones de facturación electrónica </t>
    </r>
    <r>
      <rPr>
        <sz val="11"/>
        <color rgb="FFFF0000"/>
        <rFont val="Calibri"/>
        <family val="2"/>
        <scheme val="minor"/>
      </rPr>
      <t>(7:00 am - 9:00 pm) (4 horas)
Tiempo dedicado al proyecto DEVCO (9:45 pm - 2:00 am) (4,25 horas)</t>
    </r>
  </si>
  <si>
    <t>Equipo de revisión prueba técnica - Devco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</si>
</sst>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_);_(* \(#,##0.00\);_(* &quot;-&quot;??_);_(@_)"/>
    <numFmt numFmtId="165" formatCode="yyyy\-mm\-dd"/>
    <numFmt numFmtId="166" formatCode="0.0%"/>
    <numFmt numFmtId="167" formatCode="[$-F800]dddd\,\ mmmm\ dd\,\ yyyy"/>
    <numFmt numFmtId="168" formatCode="0.0"/>
  </numFmts>
  <fonts count="42" x14ac:knownFonts="1">
    <font>
      <sz val="11"/>
      <color theme="1"/>
      <name val="Calibri"/>
      <family val="2"/>
      <scheme val="minor"/>
    </font>
    <font>
      <sz val="11"/>
      <color theme="1"/>
      <name val="Calibri"/>
      <family val="2"/>
      <scheme val="minor"/>
    </font>
    <font>
      <sz val="10"/>
      <color theme="1"/>
      <name val="Calibri"/>
      <family val="2"/>
      <scheme val="minor"/>
    </font>
    <font>
      <sz val="10"/>
      <color theme="0"/>
      <name val="Calibri"/>
      <family val="2"/>
      <scheme val="minor"/>
    </font>
    <font>
      <sz val="10"/>
      <color rgb="FFFFFFFF"/>
      <name val="Calibri"/>
      <family val="2"/>
      <scheme val="minor"/>
    </font>
    <font>
      <sz val="11"/>
      <color rgb="FF000000"/>
      <name val="Calibri"/>
      <family val="2"/>
    </font>
    <font>
      <b/>
      <sz val="10"/>
      <color theme="0" tint="-4.9989318521683403E-2"/>
      <name val="Calibri"/>
      <family val="2"/>
      <scheme val="minor"/>
    </font>
    <font>
      <sz val="10"/>
      <name val="Calibri"/>
      <family val="2"/>
      <scheme val="minor"/>
    </font>
    <font>
      <b/>
      <sz val="10"/>
      <name val="Calibri"/>
      <family val="2"/>
      <scheme val="minor"/>
    </font>
    <font>
      <b/>
      <sz val="10"/>
      <color theme="0"/>
      <name val="Calibri"/>
      <family val="2"/>
      <scheme val="minor"/>
    </font>
    <font>
      <b/>
      <sz val="10"/>
      <color theme="1"/>
      <name val="Calibri"/>
      <family val="2"/>
      <scheme val="minor"/>
    </font>
    <font>
      <b/>
      <sz val="16"/>
      <name val="Calibri"/>
      <family val="2"/>
      <scheme val="minor"/>
    </font>
    <font>
      <sz val="16"/>
      <name val="Calibri"/>
      <family val="2"/>
      <scheme val="minor"/>
    </font>
    <font>
      <sz val="10"/>
      <color theme="0" tint="-4.9989318521683403E-2"/>
      <name val="Calibri"/>
      <family val="2"/>
      <scheme val="minor"/>
    </font>
    <font>
      <sz val="11"/>
      <color rgb="FF000000"/>
      <name val="Calibri"/>
      <family val="2"/>
      <scheme val="minor"/>
    </font>
    <font>
      <sz val="11"/>
      <color theme="0"/>
      <name val="Calibri"/>
      <family val="2"/>
      <scheme val="minor"/>
    </font>
    <font>
      <sz val="11"/>
      <name val="Calibri"/>
      <family val="2"/>
      <scheme val="minor"/>
    </font>
    <font>
      <i/>
      <sz val="10"/>
      <color theme="1"/>
      <name val="Calibri"/>
      <family val="2"/>
      <scheme val="minor"/>
    </font>
    <font>
      <sz val="9"/>
      <color indexed="81"/>
      <name val="Tahoma"/>
      <family val="2"/>
    </font>
    <font>
      <b/>
      <sz val="9"/>
      <color indexed="81"/>
      <name val="Tahoma"/>
      <family val="2"/>
    </font>
    <font>
      <sz val="10"/>
      <color rgb="FFFF0000"/>
      <name val="Calibri"/>
      <family val="2"/>
      <scheme val="minor"/>
    </font>
    <font>
      <b/>
      <sz val="10"/>
      <color rgb="FFFF0000"/>
      <name val="Calibri"/>
      <family val="2"/>
      <scheme val="minor"/>
    </font>
    <font>
      <sz val="11"/>
      <color rgb="FFFF0000"/>
      <name val="Calibri"/>
      <family val="2"/>
      <scheme val="minor"/>
    </font>
    <font>
      <sz val="8"/>
      <color theme="0"/>
      <name val="Calibri"/>
      <family val="2"/>
      <scheme val="minor"/>
    </font>
    <font>
      <b/>
      <sz val="10.5"/>
      <name val="Calibri"/>
      <family val="2"/>
      <scheme val="minor"/>
    </font>
    <font>
      <b/>
      <sz val="10.5"/>
      <color theme="0" tint="-4.9989318521683403E-2"/>
      <name val="Calibri"/>
      <family val="2"/>
      <scheme val="minor"/>
    </font>
    <font>
      <b/>
      <sz val="10.5"/>
      <color theme="1"/>
      <name val="Calibri"/>
      <family val="2"/>
      <scheme val="minor"/>
    </font>
    <font>
      <sz val="14"/>
      <color theme="1"/>
      <name val="Calibri"/>
      <family val="2"/>
      <scheme val="minor"/>
    </font>
    <font>
      <b/>
      <sz val="11"/>
      <color theme="1"/>
      <name val="Calibri"/>
      <family val="2"/>
      <scheme val="minor"/>
    </font>
    <font>
      <b/>
      <sz val="11"/>
      <color theme="4" tint="0.39997558519241921"/>
      <name val="Calibri"/>
      <family val="2"/>
      <scheme val="minor"/>
    </font>
    <font>
      <sz val="10.5"/>
      <color theme="1"/>
      <name val="Calibri"/>
      <family val="2"/>
      <scheme val="minor"/>
    </font>
    <font>
      <i/>
      <sz val="10.5"/>
      <color theme="1"/>
      <name val="Calibri"/>
      <family val="2"/>
      <scheme val="minor"/>
    </font>
    <font>
      <sz val="10.5"/>
      <color theme="0"/>
      <name val="Calibri"/>
      <family val="2"/>
      <scheme val="minor"/>
    </font>
    <font>
      <b/>
      <sz val="11"/>
      <color theme="0" tint="-4.9989318521683403E-2"/>
      <name val="Calibri"/>
      <family val="2"/>
      <scheme val="minor"/>
    </font>
    <font>
      <sz val="10.5"/>
      <name val="Calibri"/>
      <family val="2"/>
      <scheme val="minor"/>
    </font>
    <font>
      <b/>
      <sz val="10.5"/>
      <color theme="0"/>
      <name val="Calibri"/>
      <family val="2"/>
      <scheme val="minor"/>
    </font>
    <font>
      <u/>
      <sz val="10.5"/>
      <color theme="1"/>
      <name val="Calibri"/>
      <family val="2"/>
      <scheme val="minor"/>
    </font>
    <font>
      <sz val="10.5"/>
      <color theme="0" tint="-4.9989318521683403E-2"/>
      <name val="Calibri"/>
      <family val="2"/>
      <scheme val="minor"/>
    </font>
    <font>
      <b/>
      <u/>
      <sz val="10"/>
      <color theme="1"/>
      <name val="Calibri"/>
      <family val="2"/>
      <scheme val="minor"/>
    </font>
    <font>
      <b/>
      <u/>
      <sz val="10"/>
      <name val="Calibri"/>
      <family val="2"/>
      <scheme val="minor"/>
    </font>
    <font>
      <b/>
      <u/>
      <sz val="10"/>
      <color theme="4"/>
      <name val="Calibri"/>
      <family val="2"/>
      <scheme val="minor"/>
    </font>
    <font>
      <u/>
      <sz val="10"/>
      <color theme="1"/>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rgb="FF808080"/>
      </left>
      <right/>
      <top/>
      <bottom/>
      <diagonal/>
    </border>
    <border>
      <left/>
      <right style="thin">
        <color rgb="FF808080"/>
      </right>
      <top/>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458">
    <xf numFmtId="0" fontId="0" fillId="0" borderId="0" xfId="0"/>
    <xf numFmtId="0" fontId="2" fillId="0" borderId="0" xfId="0" applyFont="1" applyProtection="1">
      <protection hidden="1"/>
    </xf>
    <xf numFmtId="0" fontId="2" fillId="0" borderId="6" xfId="0" applyFont="1" applyBorder="1" applyProtection="1">
      <protection hidden="1"/>
    </xf>
    <xf numFmtId="0" fontId="2" fillId="0" borderId="0" xfId="0" applyFont="1" applyAlignment="1" applyProtection="1">
      <alignment horizontal="left" indent="1"/>
      <protection hidden="1"/>
    </xf>
    <xf numFmtId="0" fontId="2" fillId="0" borderId="0" xfId="0" applyFont="1" applyAlignment="1" applyProtection="1">
      <alignment vertical="center"/>
      <protection hidden="1"/>
    </xf>
    <xf numFmtId="166" fontId="2" fillId="0" borderId="0" xfId="0" applyNumberFormat="1" applyFont="1" applyProtection="1">
      <protection hidden="1"/>
    </xf>
    <xf numFmtId="0" fontId="4" fillId="0" borderId="0" xfId="0" applyFont="1" applyProtection="1">
      <protection hidden="1"/>
    </xf>
    <xf numFmtId="0" fontId="3" fillId="0" borderId="0" xfId="0" applyFont="1" applyProtection="1">
      <protection hidden="1"/>
    </xf>
    <xf numFmtId="166" fontId="2" fillId="0" borderId="0" xfId="0" applyNumberFormat="1" applyFont="1" applyAlignment="1" applyProtection="1">
      <alignment vertical="center"/>
      <protection hidden="1"/>
    </xf>
    <xf numFmtId="166" fontId="2" fillId="0" borderId="0" xfId="1" applyNumberFormat="1" applyFont="1" applyAlignment="1" applyProtection="1">
      <alignment vertical="center"/>
      <protection hidden="1"/>
    </xf>
    <xf numFmtId="0" fontId="2" fillId="0" borderId="0" xfId="0" applyFont="1"/>
    <xf numFmtId="0" fontId="7" fillId="0" borderId="0" xfId="0" applyFont="1" applyProtection="1">
      <protection hidden="1"/>
    </xf>
    <xf numFmtId="0" fontId="7" fillId="0" borderId="0" xfId="0" applyFont="1" applyAlignment="1" applyProtection="1">
      <alignment horizontal="left" indent="1"/>
      <protection hidden="1"/>
    </xf>
    <xf numFmtId="166" fontId="7" fillId="0" borderId="0" xfId="0" applyNumberFormat="1" applyFont="1" applyProtection="1">
      <protection hidden="1"/>
    </xf>
    <xf numFmtId="0" fontId="8" fillId="0" borderId="0" xfId="0" applyFont="1" applyAlignment="1" applyProtection="1">
      <alignment vertical="center"/>
      <protection hidden="1"/>
    </xf>
    <xf numFmtId="0" fontId="7" fillId="0" borderId="0" xfId="0" applyFont="1" applyAlignment="1" applyProtection="1">
      <alignment vertical="center"/>
      <protection hidden="1"/>
    </xf>
    <xf numFmtId="166" fontId="7" fillId="0" borderId="0" xfId="0" applyNumberFormat="1" applyFont="1" applyAlignment="1" applyProtection="1">
      <alignment vertical="center"/>
      <protection hidden="1"/>
    </xf>
    <xf numFmtId="166" fontId="7" fillId="0" borderId="0" xfId="1" applyNumberFormat="1" applyFont="1" applyAlignment="1" applyProtection="1">
      <alignment vertical="center"/>
      <protection hidden="1"/>
    </xf>
    <xf numFmtId="0" fontId="9" fillId="0" borderId="0" xfId="0" applyFont="1" applyProtection="1">
      <protection hidden="1"/>
    </xf>
    <xf numFmtId="0" fontId="7" fillId="0" borderId="0" xfId="0" applyFont="1" applyAlignment="1" applyProtection="1">
      <alignment horizontal="center"/>
      <protection hidden="1"/>
    </xf>
    <xf numFmtId="0" fontId="6" fillId="0" borderId="0" xfId="0" applyFont="1" applyAlignment="1" applyProtection="1">
      <alignment vertical="center"/>
      <protection hidden="1"/>
    </xf>
    <xf numFmtId="0" fontId="7" fillId="0" borderId="0" xfId="0" applyFont="1" applyAlignment="1" applyProtection="1">
      <alignment horizontal="center" vertical="center"/>
      <protection hidden="1"/>
    </xf>
    <xf numFmtId="0" fontId="10" fillId="0" borderId="0" xfId="0" applyFont="1" applyProtection="1">
      <protection hidden="1"/>
    </xf>
    <xf numFmtId="0" fontId="7" fillId="0" borderId="6" xfId="0" applyFont="1" applyBorder="1" applyProtection="1">
      <protection hidden="1"/>
    </xf>
    <xf numFmtId="0" fontId="8" fillId="0" borderId="0" xfId="0" applyFont="1" applyAlignment="1" applyProtection="1">
      <alignment horizontal="center"/>
      <protection hidden="1"/>
    </xf>
    <xf numFmtId="0" fontId="6" fillId="0" borderId="0" xfId="0" applyFont="1" applyProtection="1">
      <protection hidden="1"/>
    </xf>
    <xf numFmtId="0" fontId="8" fillId="0" borderId="0" xfId="0" applyFont="1" applyProtection="1">
      <protection hidden="1"/>
    </xf>
    <xf numFmtId="0" fontId="2" fillId="0" borderId="0" xfId="0" applyFont="1" applyAlignment="1" applyProtection="1">
      <alignment horizontal="center"/>
      <protection hidden="1"/>
    </xf>
    <xf numFmtId="167" fontId="3" fillId="0" borderId="0" xfId="0" applyNumberFormat="1" applyFont="1" applyProtection="1">
      <protection hidden="1"/>
    </xf>
    <xf numFmtId="168" fontId="7" fillId="0" borderId="0" xfId="0" applyNumberFormat="1" applyFont="1" applyAlignment="1" applyProtection="1">
      <alignment horizontal="center"/>
      <protection hidden="1"/>
    </xf>
    <xf numFmtId="168" fontId="7" fillId="0" borderId="0" xfId="0" applyNumberFormat="1" applyFont="1" applyProtection="1">
      <protection hidden="1"/>
    </xf>
    <xf numFmtId="168" fontId="7"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3" fillId="0" borderId="0" xfId="1" applyNumberFormat="1" applyFont="1" applyProtection="1">
      <protection hidden="1"/>
    </xf>
    <xf numFmtId="0" fontId="10" fillId="0" borderId="0" xfId="0" applyFont="1" applyAlignment="1" applyProtection="1">
      <alignment vertical="center"/>
      <protection hidden="1"/>
    </xf>
    <xf numFmtId="0" fontId="9" fillId="0" borderId="0" xfId="0" applyFont="1" applyAlignment="1" applyProtection="1">
      <alignment vertical="center"/>
      <protection hidden="1"/>
    </xf>
    <xf numFmtId="0" fontId="7" fillId="0" borderId="0" xfId="0" applyFont="1"/>
    <xf numFmtId="0" fontId="10" fillId="0" borderId="0" xfId="0" applyFont="1" applyAlignment="1">
      <alignment horizontal="left" vertical="center"/>
    </xf>
    <xf numFmtId="165" fontId="2" fillId="0" borderId="0" xfId="0" applyNumberFormat="1" applyFont="1" applyAlignment="1">
      <alignment horizontal="left"/>
    </xf>
    <xf numFmtId="0" fontId="2" fillId="0" borderId="6" xfId="0" applyFont="1" applyBorder="1"/>
    <xf numFmtId="0" fontId="8" fillId="0" borderId="0" xfId="0" applyFont="1" applyAlignment="1">
      <alignment horizontal="center"/>
    </xf>
    <xf numFmtId="0" fontId="3" fillId="0" borderId="0" xfId="0" applyFont="1"/>
    <xf numFmtId="0" fontId="10" fillId="0" borderId="0" xfId="0" applyFont="1" applyAlignment="1">
      <alignment horizontal="center" vertical="center"/>
    </xf>
    <xf numFmtId="0" fontId="2" fillId="0" borderId="6" xfId="0" applyFont="1" applyBorder="1" applyAlignment="1">
      <alignment horizontal="left" vertical="center"/>
    </xf>
    <xf numFmtId="165" fontId="2" fillId="0" borderId="6" xfId="0" applyNumberFormat="1" applyFont="1" applyBorder="1" applyAlignment="1">
      <alignment horizontal="left"/>
    </xf>
    <xf numFmtId="0" fontId="2" fillId="0" borderId="9" xfId="0" applyFont="1" applyBorder="1" applyAlignment="1">
      <alignment horizontal="center" vertical="center"/>
    </xf>
    <xf numFmtId="0" fontId="2" fillId="0" borderId="0" xfId="0" applyFont="1" applyAlignment="1">
      <alignment horizontal="center" vertical="center"/>
    </xf>
    <xf numFmtId="0" fontId="7" fillId="0" borderId="0" xfId="0" applyFont="1" applyAlignment="1">
      <alignment vertical="center"/>
    </xf>
    <xf numFmtId="0" fontId="2" fillId="0" borderId="6" xfId="0" applyFont="1" applyBorder="1" applyAlignment="1">
      <alignment horizontal="left"/>
    </xf>
    <xf numFmtId="0" fontId="9" fillId="0" borderId="0" xfId="0" applyFont="1"/>
    <xf numFmtId="0" fontId="8" fillId="0" borderId="0" xfId="0" applyFont="1" applyAlignment="1">
      <alignment horizontal="center" vertical="center"/>
    </xf>
    <xf numFmtId="166" fontId="7" fillId="0" borderId="0" xfId="1" applyNumberFormat="1" applyFont="1" applyAlignment="1">
      <alignment vertical="center"/>
    </xf>
    <xf numFmtId="166" fontId="7" fillId="0" borderId="0" xfId="0" applyNumberFormat="1" applyFont="1" applyAlignment="1">
      <alignment vertical="center"/>
    </xf>
    <xf numFmtId="0" fontId="7" fillId="0" borderId="0" xfId="0" applyFont="1" applyAlignment="1">
      <alignment horizontal="left" indent="1"/>
    </xf>
    <xf numFmtId="0" fontId="8" fillId="0" borderId="0" xfId="0" applyFont="1" applyAlignment="1">
      <alignment vertical="center"/>
    </xf>
    <xf numFmtId="166" fontId="7" fillId="0" borderId="0" xfId="0" applyNumberFormat="1" applyFont="1"/>
    <xf numFmtId="0" fontId="15" fillId="0" borderId="0" xfId="0" applyFont="1"/>
    <xf numFmtId="0" fontId="16" fillId="0" borderId="0" xfId="0" applyFont="1"/>
    <xf numFmtId="165" fontId="2" fillId="0" borderId="0" xfId="0" applyNumberFormat="1" applyFont="1" applyProtection="1">
      <protection hidden="1"/>
    </xf>
    <xf numFmtId="0" fontId="14" fillId="0" borderId="0" xfId="0" applyFont="1"/>
    <xf numFmtId="0" fontId="7" fillId="0" borderId="0" xfId="0" applyFont="1" applyAlignment="1" applyProtection="1">
      <alignment horizontal="left"/>
      <protection hidden="1"/>
    </xf>
    <xf numFmtId="0" fontId="2" fillId="0" borderId="4" xfId="0" applyFont="1" applyBorder="1" applyAlignment="1" applyProtection="1">
      <alignment vertical="center"/>
      <protection hidden="1"/>
    </xf>
    <xf numFmtId="0" fontId="15" fillId="0" borderId="0" xfId="0" applyFont="1" applyAlignment="1">
      <alignment vertical="center"/>
    </xf>
    <xf numFmtId="0" fontId="0" fillId="0" borderId="0" xfId="0" applyAlignment="1">
      <alignment vertical="center"/>
    </xf>
    <xf numFmtId="0" fontId="16" fillId="0" borderId="0" xfId="0" applyFont="1" applyAlignment="1">
      <alignment vertical="center"/>
    </xf>
    <xf numFmtId="0" fontId="20" fillId="0" borderId="0" xfId="0" applyFont="1" applyProtection="1">
      <protection hidden="1"/>
    </xf>
    <xf numFmtId="9" fontId="20" fillId="0" borderId="0" xfId="1" applyFont="1" applyProtection="1">
      <protection hidden="1"/>
    </xf>
    <xf numFmtId="1" fontId="20" fillId="0" borderId="0" xfId="0" applyNumberFormat="1" applyFont="1" applyProtection="1">
      <protection hidden="1"/>
    </xf>
    <xf numFmtId="0" fontId="0" fillId="0" borderId="0" xfId="0" applyAlignment="1">
      <alignment wrapText="1"/>
    </xf>
    <xf numFmtId="0" fontId="0" fillId="0" borderId="0" xfId="0" applyAlignment="1">
      <alignment wrapText="1" shrinkToFit="1"/>
    </xf>
    <xf numFmtId="0" fontId="16" fillId="0" borderId="0" xfId="0" applyFont="1" applyAlignment="1">
      <alignment wrapText="1" shrinkToFit="1"/>
    </xf>
    <xf numFmtId="0" fontId="2" fillId="0" borderId="6" xfId="0" applyFont="1" applyBorder="1" applyAlignment="1" applyProtection="1">
      <alignment wrapText="1" shrinkToFit="1"/>
      <protection hidden="1"/>
    </xf>
    <xf numFmtId="0" fontId="2" fillId="0" borderId="0" xfId="0" applyFont="1" applyAlignment="1" applyProtection="1">
      <alignment wrapText="1" shrinkToFit="1"/>
      <protection hidden="1"/>
    </xf>
    <xf numFmtId="0" fontId="7" fillId="0" borderId="0" xfId="0" applyFont="1" applyAlignment="1" applyProtection="1">
      <alignment wrapText="1" shrinkToFit="1"/>
      <protection hidden="1"/>
    </xf>
    <xf numFmtId="0" fontId="21" fillId="0" borderId="0" xfId="0" applyFont="1" applyAlignment="1">
      <alignment vertical="center"/>
    </xf>
    <xf numFmtId="9" fontId="20" fillId="0" borderId="0" xfId="0" applyNumberFormat="1" applyFont="1" applyProtection="1">
      <protection hidden="1"/>
    </xf>
    <xf numFmtId="0" fontId="22" fillId="0" borderId="0" xfId="0" applyFont="1"/>
    <xf numFmtId="0" fontId="21" fillId="0" borderId="0" xfId="0" applyFont="1" applyAlignment="1" applyProtection="1">
      <alignment vertical="center"/>
      <protection hidden="1"/>
    </xf>
    <xf numFmtId="0" fontId="21" fillId="0" borderId="0" xfId="0" applyFont="1" applyProtection="1">
      <protection hidden="1"/>
    </xf>
    <xf numFmtId="0" fontId="20" fillId="0" borderId="0" xfId="0" applyFont="1" applyAlignment="1" applyProtection="1">
      <alignment vertical="center"/>
      <protection hidden="1"/>
    </xf>
    <xf numFmtId="9" fontId="8" fillId="0" borderId="0" xfId="0" applyNumberFormat="1" applyFont="1" applyAlignment="1" applyProtection="1">
      <alignment vertical="center"/>
      <protection hidden="1"/>
    </xf>
    <xf numFmtId="0" fontId="23" fillId="0" borderId="0" xfId="0" applyFont="1"/>
    <xf numFmtId="0" fontId="23" fillId="0" borderId="0" xfId="0" applyFont="1" applyProtection="1">
      <protection hidden="1"/>
    </xf>
    <xf numFmtId="166" fontId="20" fillId="0" borderId="0" xfId="0" applyNumberFormat="1" applyFont="1" applyProtection="1">
      <protection hidden="1"/>
    </xf>
    <xf numFmtId="0" fontId="24" fillId="4" borderId="2" xfId="0" applyFont="1" applyFill="1" applyBorder="1" applyAlignment="1" applyProtection="1">
      <alignment vertical="center" wrapText="1" shrinkToFit="1"/>
      <protection hidden="1"/>
    </xf>
    <xf numFmtId="0" fontId="26" fillId="4" borderId="1" xfId="0" applyFont="1" applyFill="1" applyBorder="1" applyAlignment="1" applyProtection="1">
      <alignment vertical="center" wrapText="1" shrinkToFit="1"/>
      <protection hidden="1"/>
    </xf>
    <xf numFmtId="0" fontId="27" fillId="0" borderId="0" xfId="0" applyFont="1"/>
    <xf numFmtId="9" fontId="2" fillId="0" borderId="0" xfId="1" applyFont="1" applyProtection="1">
      <protection hidden="1"/>
    </xf>
    <xf numFmtId="0" fontId="2" fillId="0" borderId="0" xfId="0" applyFont="1" applyAlignment="1" applyProtection="1">
      <alignment vertical="center"/>
      <protection locked="0"/>
    </xf>
    <xf numFmtId="0" fontId="2" fillId="0" borderId="0" xfId="0" applyFont="1" applyProtection="1">
      <protection locked="0"/>
    </xf>
    <xf numFmtId="0" fontId="10" fillId="0" borderId="0" xfId="0" applyFont="1" applyAlignment="1" applyProtection="1">
      <alignment vertical="center" wrapText="1"/>
      <protection hidden="1"/>
    </xf>
    <xf numFmtId="0" fontId="7" fillId="0" borderId="2" xfId="0" applyFont="1" applyBorder="1" applyAlignment="1" applyProtection="1">
      <alignment vertical="center" wrapText="1" shrinkToFit="1"/>
      <protection locked="0"/>
    </xf>
    <xf numFmtId="0" fontId="30" fillId="0" borderId="0" xfId="0" applyFont="1" applyAlignment="1" applyProtection="1">
      <alignment horizontal="left" vertical="center"/>
      <protection hidden="1"/>
    </xf>
    <xf numFmtId="0" fontId="30" fillId="0" borderId="0" xfId="0" applyFont="1" applyAlignment="1" applyProtection="1">
      <alignment horizontal="left"/>
      <protection hidden="1"/>
    </xf>
    <xf numFmtId="0" fontId="30" fillId="0" borderId="16" xfId="0" applyFont="1" applyBorder="1" applyProtection="1">
      <protection hidden="1"/>
    </xf>
    <xf numFmtId="0" fontId="30" fillId="0" borderId="15" xfId="0" applyFont="1" applyBorder="1" applyProtection="1">
      <protection hidden="1"/>
    </xf>
    <xf numFmtId="0" fontId="26"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30" fillId="0" borderId="0" xfId="0" applyFont="1" applyAlignment="1" applyProtection="1">
      <alignment horizontal="center"/>
      <protection hidden="1"/>
    </xf>
    <xf numFmtId="9" fontId="32" fillId="0" borderId="5" xfId="1" applyFont="1" applyBorder="1" applyAlignment="1" applyProtection="1">
      <alignment vertical="center"/>
      <protection hidden="1"/>
    </xf>
    <xf numFmtId="9" fontId="32" fillId="0" borderId="2" xfId="1" applyFont="1" applyBorder="1" applyAlignment="1" applyProtection="1">
      <alignment vertical="center"/>
      <protection hidden="1"/>
    </xf>
    <xf numFmtId="9" fontId="32" fillId="0" borderId="18" xfId="1" applyFont="1" applyBorder="1" applyAlignment="1" applyProtection="1">
      <alignment vertical="center"/>
      <protection hidden="1"/>
    </xf>
    <xf numFmtId="0" fontId="34" fillId="0" borderId="0" xfId="0" applyFont="1" applyProtection="1">
      <protection hidden="1"/>
    </xf>
    <xf numFmtId="0" fontId="30" fillId="0" borderId="5" xfId="0" applyFont="1" applyBorder="1" applyProtection="1">
      <protection hidden="1"/>
    </xf>
    <xf numFmtId="0" fontId="30" fillId="0" borderId="6" xfId="0" applyFont="1" applyBorder="1" applyProtection="1">
      <protection hidden="1"/>
    </xf>
    <xf numFmtId="0" fontId="34" fillId="0" borderId="3" xfId="0" applyFont="1" applyBorder="1" applyProtection="1">
      <protection hidden="1"/>
    </xf>
    <xf numFmtId="0" fontId="30" fillId="0" borderId="0" xfId="0" applyFont="1" applyProtection="1">
      <protection hidden="1"/>
    </xf>
    <xf numFmtId="0" fontId="34" fillId="0" borderId="6" xfId="0" applyFont="1" applyBorder="1" applyProtection="1">
      <protection hidden="1"/>
    </xf>
    <xf numFmtId="0" fontId="30" fillId="0" borderId="0" xfId="0" applyFont="1" applyAlignment="1" applyProtection="1">
      <alignment vertical="center"/>
      <protection hidden="1"/>
    </xf>
    <xf numFmtId="0" fontId="30" fillId="0" borderId="6" xfId="0" applyFont="1" applyBorder="1" applyAlignment="1" applyProtection="1">
      <alignment vertical="center"/>
      <protection hidden="1"/>
    </xf>
    <xf numFmtId="0" fontId="34" fillId="0" borderId="0" xfId="0" applyFont="1" applyAlignment="1" applyProtection="1">
      <alignment vertical="center"/>
      <protection hidden="1"/>
    </xf>
    <xf numFmtId="0" fontId="34" fillId="0" borderId="5" xfId="0" applyFont="1" applyBorder="1" applyProtection="1">
      <protection hidden="1"/>
    </xf>
    <xf numFmtId="0" fontId="24" fillId="0" borderId="0" xfId="0" applyFont="1" applyProtection="1">
      <protection hidden="1"/>
    </xf>
    <xf numFmtId="0" fontId="2" fillId="0" borderId="1" xfId="0" applyFont="1" applyBorder="1" applyAlignment="1" applyProtection="1">
      <alignment horizontal="center" vertical="center" wrapText="1" shrinkToFit="1"/>
      <protection locked="0"/>
    </xf>
    <xf numFmtId="0" fontId="7" fillId="0" borderId="2" xfId="0" applyFont="1" applyBorder="1" applyAlignment="1" applyProtection="1">
      <alignment vertical="center" wrapText="1" shrinkToFit="1"/>
      <protection locked="0"/>
    </xf>
    <xf numFmtId="0" fontId="2" fillId="0" borderId="1" xfId="0" applyFont="1" applyBorder="1" applyAlignment="1" applyProtection="1">
      <alignment horizontal="center" vertical="center" wrapText="1" shrinkToFit="1"/>
      <protection locked="0"/>
    </xf>
    <xf numFmtId="0" fontId="2" fillId="0" borderId="1" xfId="0" applyFont="1" applyBorder="1" applyAlignment="1" applyProtection="1">
      <alignment horizontal="center" vertical="center" wrapText="1" shrinkToFit="1"/>
      <protection locked="0"/>
    </xf>
    <xf numFmtId="9" fontId="2" fillId="5" borderId="1" xfId="1" applyFont="1" applyFill="1" applyBorder="1" applyAlignment="1">
      <alignment vertical="center" wrapText="1" shrinkToFit="1"/>
    </xf>
    <xf numFmtId="0" fontId="2" fillId="0" borderId="1" xfId="0" applyFont="1" applyBorder="1" applyAlignment="1" applyProtection="1">
      <alignment vertical="center" wrapText="1" shrinkToFit="1"/>
      <protection locked="0"/>
    </xf>
    <xf numFmtId="0" fontId="7" fillId="0" borderId="1" xfId="0" applyFont="1" applyBorder="1" applyAlignment="1" applyProtection="1">
      <alignment vertical="center" wrapText="1" shrinkToFit="1"/>
      <protection locked="0"/>
    </xf>
    <xf numFmtId="0" fontId="13" fillId="0" borderId="1" xfId="0" applyFont="1" applyBorder="1" applyAlignment="1" applyProtection="1">
      <alignment vertical="center" wrapText="1" shrinkToFit="1"/>
      <protection locked="0"/>
    </xf>
    <xf numFmtId="0" fontId="7" fillId="0" borderId="1" xfId="0" applyFont="1" applyBorder="1" applyAlignment="1">
      <alignment vertical="center" wrapText="1" shrinkToFit="1"/>
    </xf>
    <xf numFmtId="0" fontId="7" fillId="0" borderId="2" xfId="0" applyFont="1" applyBorder="1" applyAlignment="1" applyProtection="1">
      <alignment vertical="center" wrapText="1" shrinkToFit="1"/>
      <protection locked="0"/>
    </xf>
    <xf numFmtId="0" fontId="7" fillId="0" borderId="3" xfId="0" applyFont="1" applyBorder="1" applyAlignment="1" applyProtection="1">
      <alignment vertical="center" wrapText="1" shrinkToFit="1"/>
      <protection locked="0"/>
    </xf>
    <xf numFmtId="0" fontId="7" fillId="0" borderId="4" xfId="0" applyFont="1" applyBorder="1" applyAlignment="1" applyProtection="1">
      <alignment vertical="center" wrapText="1" shrinkToFit="1"/>
      <protection locked="0"/>
    </xf>
    <xf numFmtId="0" fontId="6" fillId="3" borderId="2" xfId="0" applyFont="1" applyFill="1" applyBorder="1" applyAlignment="1" applyProtection="1">
      <alignment wrapText="1" shrinkToFit="1"/>
      <protection hidden="1"/>
    </xf>
    <xf numFmtId="0" fontId="6" fillId="3" borderId="3" xfId="0" applyFont="1" applyFill="1" applyBorder="1" applyAlignment="1" applyProtection="1">
      <alignment wrapText="1" shrinkToFit="1"/>
      <protection hidden="1"/>
    </xf>
    <xf numFmtId="0" fontId="6" fillId="3" borderId="4" xfId="0" applyFont="1" applyFill="1" applyBorder="1" applyAlignment="1" applyProtection="1">
      <alignment wrapText="1" shrinkToFit="1"/>
      <protection hidden="1"/>
    </xf>
    <xf numFmtId="0" fontId="2" fillId="0" borderId="9" xfId="0" applyFont="1" applyBorder="1" applyAlignment="1" applyProtection="1">
      <alignment wrapText="1" shrinkToFit="1"/>
      <protection hidden="1"/>
    </xf>
    <xf numFmtId="0" fontId="24" fillId="4" borderId="1" xfId="0" applyFont="1" applyFill="1" applyBorder="1" applyAlignment="1" applyProtection="1">
      <alignment horizontal="center" vertical="center" wrapText="1" shrinkToFit="1"/>
      <protection hidden="1"/>
    </xf>
    <xf numFmtId="0" fontId="25" fillId="4" borderId="1" xfId="0" applyFont="1" applyFill="1" applyBorder="1" applyAlignment="1" applyProtection="1">
      <alignment horizontal="center" vertical="center" wrapText="1" shrinkToFit="1"/>
      <protection hidden="1"/>
    </xf>
    <xf numFmtId="0" fontId="24" fillId="4" borderId="1" xfId="0" applyFont="1" applyFill="1" applyBorder="1" applyAlignment="1" applyProtection="1">
      <alignment vertical="center" wrapText="1" shrinkToFit="1"/>
      <protection hidden="1"/>
    </xf>
    <xf numFmtId="0" fontId="24" fillId="4" borderId="2" xfId="0" applyFont="1" applyFill="1" applyBorder="1" applyAlignment="1" applyProtection="1">
      <alignment vertical="center" wrapText="1" shrinkToFit="1"/>
      <protection hidden="1"/>
    </xf>
    <xf numFmtId="0" fontId="24" fillId="4" borderId="3" xfId="0" applyFont="1" applyFill="1" applyBorder="1" applyAlignment="1" applyProtection="1">
      <alignment vertical="center" wrapText="1" shrinkToFit="1"/>
      <protection hidden="1"/>
    </xf>
    <xf numFmtId="0" fontId="24" fillId="4" borderId="4" xfId="0" applyFont="1" applyFill="1" applyBorder="1" applyAlignment="1" applyProtection="1">
      <alignment vertical="center" wrapText="1" shrinkToFit="1"/>
      <protection hidden="1"/>
    </xf>
    <xf numFmtId="0" fontId="26" fillId="4" borderId="1" xfId="0" applyFont="1" applyFill="1" applyBorder="1" applyAlignment="1" applyProtection="1">
      <alignment horizontal="center" vertical="center" wrapText="1" shrinkToFit="1"/>
      <protection hidden="1"/>
    </xf>
    <xf numFmtId="0" fontId="26" fillId="4" borderId="1" xfId="0" applyFont="1" applyFill="1" applyBorder="1" applyAlignment="1" applyProtection="1">
      <alignment vertical="center" wrapText="1" shrinkToFit="1"/>
      <protection hidden="1"/>
    </xf>
    <xf numFmtId="0" fontId="8" fillId="0" borderId="9" xfId="0" applyFont="1" applyBorder="1" applyAlignment="1" applyProtection="1">
      <alignment horizontal="center" wrapText="1" shrinkToFit="1"/>
      <protection hidden="1"/>
    </xf>
    <xf numFmtId="0" fontId="2" fillId="4" borderId="1" xfId="0" applyFont="1" applyFill="1" applyBorder="1" applyAlignment="1" applyProtection="1">
      <alignment wrapText="1" shrinkToFit="1"/>
      <protection hidden="1"/>
    </xf>
    <xf numFmtId="0" fontId="30" fillId="5" borderId="2" xfId="0" applyFont="1" applyFill="1" applyBorder="1" applyAlignment="1" applyProtection="1">
      <alignment horizontal="center" vertical="center"/>
      <protection hidden="1"/>
    </xf>
    <xf numFmtId="0" fontId="30" fillId="5" borderId="3" xfId="0" applyFont="1" applyFill="1" applyBorder="1" applyAlignment="1" applyProtection="1">
      <alignment horizontal="center" vertical="center"/>
      <protection hidden="1"/>
    </xf>
    <xf numFmtId="0" fontId="30" fillId="5" borderId="4" xfId="0" applyFont="1" applyFill="1" applyBorder="1" applyAlignment="1" applyProtection="1">
      <alignment horizontal="center" vertical="center"/>
      <protection hidden="1"/>
    </xf>
    <xf numFmtId="0" fontId="34" fillId="5" borderId="1" xfId="0" applyFont="1" applyFill="1" applyBorder="1" applyAlignment="1" applyProtection="1">
      <alignment horizontal="left"/>
      <protection hidden="1"/>
    </xf>
    <xf numFmtId="0" fontId="37" fillId="5" borderId="1" xfId="0" applyFont="1" applyFill="1" applyBorder="1" applyAlignment="1" applyProtection="1">
      <alignment horizontal="left"/>
      <protection hidden="1"/>
    </xf>
    <xf numFmtId="0" fontId="30" fillId="0" borderId="1" xfId="0" applyFont="1" applyBorder="1" applyAlignment="1" applyProtection="1">
      <alignment horizontal="center"/>
      <protection locked="0"/>
    </xf>
    <xf numFmtId="168" fontId="34" fillId="5" borderId="1" xfId="0" applyNumberFormat="1" applyFont="1" applyFill="1" applyBorder="1" applyAlignment="1" applyProtection="1">
      <alignment horizontal="center"/>
      <protection hidden="1"/>
    </xf>
    <xf numFmtId="168" fontId="30" fillId="5" borderId="1" xfId="0" applyNumberFormat="1" applyFont="1" applyFill="1" applyBorder="1" applyAlignment="1" applyProtection="1">
      <alignment horizontal="center"/>
      <protection hidden="1"/>
    </xf>
    <xf numFmtId="14" fontId="30" fillId="0" borderId="1" xfId="0" applyNumberFormat="1" applyFont="1" applyBorder="1" applyAlignment="1" applyProtection="1">
      <alignment horizontal="center"/>
      <protection locked="0"/>
    </xf>
    <xf numFmtId="14" fontId="30" fillId="5" borderId="1" xfId="0" applyNumberFormat="1" applyFont="1" applyFill="1" applyBorder="1" applyAlignment="1" applyProtection="1">
      <alignment horizontal="center"/>
      <protection hidden="1"/>
    </xf>
    <xf numFmtId="0" fontId="10" fillId="0" borderId="9" xfId="0" applyFont="1" applyBorder="1" applyAlignment="1" applyProtection="1">
      <alignment horizontal="center" vertical="center"/>
      <protection hidden="1"/>
    </xf>
    <xf numFmtId="0" fontId="26" fillId="5" borderId="1" xfId="0" applyFont="1" applyFill="1" applyBorder="1" applyAlignment="1" applyProtection="1">
      <alignment horizontal="center" vertical="center"/>
      <protection hidden="1"/>
    </xf>
    <xf numFmtId="0" fontId="26" fillId="4" borderId="2" xfId="0" applyFont="1" applyFill="1" applyBorder="1" applyAlignment="1" applyProtection="1">
      <alignment horizontal="center" vertical="center"/>
      <protection hidden="1"/>
    </xf>
    <xf numFmtId="0" fontId="26" fillId="4" borderId="3" xfId="0" applyFont="1" applyFill="1" applyBorder="1" applyAlignment="1" applyProtection="1">
      <alignment horizontal="center" vertical="center"/>
      <protection hidden="1"/>
    </xf>
    <xf numFmtId="0" fontId="26" fillId="4" borderId="4" xfId="0" applyFont="1" applyFill="1" applyBorder="1" applyAlignment="1" applyProtection="1">
      <alignment horizontal="center" vertical="center"/>
      <protection hidden="1"/>
    </xf>
    <xf numFmtId="168" fontId="30" fillId="5" borderId="2" xfId="0" applyNumberFormat="1" applyFont="1" applyFill="1" applyBorder="1" applyAlignment="1" applyProtection="1">
      <alignment horizontal="center" vertical="center"/>
      <protection hidden="1"/>
    </xf>
    <xf numFmtId="168" fontId="30" fillId="5" borderId="3" xfId="0" applyNumberFormat="1" applyFont="1" applyFill="1" applyBorder="1" applyAlignment="1" applyProtection="1">
      <alignment horizontal="center" vertical="center"/>
      <protection hidden="1"/>
    </xf>
    <xf numFmtId="168" fontId="30" fillId="5" borderId="4" xfId="0" applyNumberFormat="1" applyFont="1" applyFill="1" applyBorder="1" applyAlignment="1" applyProtection="1">
      <alignment horizontal="center" vertical="center"/>
      <protection hidden="1"/>
    </xf>
    <xf numFmtId="0" fontId="30" fillId="5" borderId="1" xfId="0" applyFont="1" applyFill="1" applyBorder="1" applyAlignment="1">
      <alignment horizontal="center" vertical="center"/>
    </xf>
    <xf numFmtId="0" fontId="24" fillId="2" borderId="1" xfId="0" applyFont="1" applyFill="1" applyBorder="1" applyAlignment="1" applyProtection="1">
      <alignment horizontal="center"/>
      <protection hidden="1"/>
    </xf>
    <xf numFmtId="0" fontId="30" fillId="5" borderId="10" xfId="0" applyFont="1" applyFill="1" applyBorder="1" applyAlignment="1">
      <alignment horizontal="center" vertical="center"/>
    </xf>
    <xf numFmtId="0" fontId="30" fillId="5" borderId="9" xfId="0" applyFont="1" applyFill="1" applyBorder="1" applyAlignment="1">
      <alignment horizontal="center" vertical="center"/>
    </xf>
    <xf numFmtId="0" fontId="30" fillId="5" borderId="11" xfId="0" applyFont="1" applyFill="1" applyBorder="1" applyAlignment="1">
      <alignment horizontal="center" vertical="center"/>
    </xf>
    <xf numFmtId="0" fontId="30" fillId="5" borderId="18" xfId="0" applyFont="1" applyFill="1" applyBorder="1" applyAlignment="1">
      <alignment horizontal="center" vertical="center"/>
    </xf>
    <xf numFmtId="0" fontId="30" fillId="5" borderId="0" xfId="0" applyFont="1" applyFill="1" applyAlignment="1">
      <alignment horizontal="center" vertical="center"/>
    </xf>
    <xf numFmtId="0" fontId="30" fillId="5" borderId="19" xfId="0" applyFont="1" applyFill="1" applyBorder="1" applyAlignment="1">
      <alignment horizontal="center" vertical="center"/>
    </xf>
    <xf numFmtId="0" fontId="30" fillId="5" borderId="5" xfId="0" applyFont="1" applyFill="1" applyBorder="1" applyAlignment="1">
      <alignment horizontal="center" vertical="center"/>
    </xf>
    <xf numFmtId="0" fontId="30" fillId="5" borderId="6" xfId="0" applyFont="1" applyFill="1" applyBorder="1" applyAlignment="1">
      <alignment horizontal="center" vertical="center"/>
    </xf>
    <xf numFmtId="0" fontId="30" fillId="5" borderId="8" xfId="0" applyFont="1" applyFill="1" applyBorder="1" applyAlignment="1">
      <alignment horizontal="center" vertical="center"/>
    </xf>
    <xf numFmtId="0" fontId="26" fillId="4" borderId="1" xfId="0" applyFont="1" applyFill="1" applyBorder="1" applyAlignment="1" applyProtection="1">
      <alignment horizontal="center"/>
      <protection hidden="1"/>
    </xf>
    <xf numFmtId="0" fontId="24" fillId="4" borderId="5" xfId="0" applyFont="1" applyFill="1" applyBorder="1" applyAlignment="1" applyProtection="1">
      <alignment horizontal="center" vertical="center"/>
      <protection hidden="1"/>
    </xf>
    <xf numFmtId="0" fontId="24" fillId="4" borderId="6" xfId="0" applyFont="1" applyFill="1" applyBorder="1" applyAlignment="1" applyProtection="1">
      <alignment horizontal="center" vertical="center"/>
      <protection hidden="1"/>
    </xf>
    <xf numFmtId="0" fontId="24" fillId="4" borderId="8" xfId="0" applyFont="1" applyFill="1" applyBorder="1" applyAlignment="1" applyProtection="1">
      <alignment horizontal="center" vertical="center"/>
      <protection hidden="1"/>
    </xf>
    <xf numFmtId="0" fontId="24" fillId="4" borderId="1" xfId="0" applyFont="1" applyFill="1" applyBorder="1" applyAlignment="1" applyProtection="1">
      <alignment horizontal="center" vertical="center"/>
      <protection hidden="1"/>
    </xf>
    <xf numFmtId="0" fontId="30" fillId="5" borderId="7" xfId="0" applyFont="1" applyFill="1" applyBorder="1" applyAlignment="1" applyProtection="1">
      <alignment horizontal="center"/>
      <protection locked="0"/>
    </xf>
    <xf numFmtId="0" fontId="25" fillId="3" borderId="2" xfId="0" applyFont="1" applyFill="1" applyBorder="1" applyAlignment="1" applyProtection="1">
      <alignment horizontal="center" vertical="center"/>
      <protection hidden="1"/>
    </xf>
    <xf numFmtId="0" fontId="25" fillId="3" borderId="3" xfId="0" applyFont="1" applyFill="1" applyBorder="1" applyAlignment="1" applyProtection="1">
      <alignment horizontal="center" vertical="center"/>
      <protection hidden="1"/>
    </xf>
    <xf numFmtId="0" fontId="25" fillId="3" borderId="4" xfId="0" applyFont="1" applyFill="1" applyBorder="1" applyAlignment="1" applyProtection="1">
      <alignment horizontal="center" vertical="center"/>
      <protection hidden="1"/>
    </xf>
    <xf numFmtId="0" fontId="30" fillId="4" borderId="2" xfId="0" applyFont="1" applyFill="1" applyBorder="1" applyAlignment="1" applyProtection="1">
      <alignment horizontal="center" vertical="center"/>
      <protection hidden="1"/>
    </xf>
    <xf numFmtId="0" fontId="30" fillId="4" borderId="3" xfId="0" applyFont="1" applyFill="1" applyBorder="1" applyAlignment="1" applyProtection="1">
      <alignment horizontal="center" vertical="center"/>
      <protection hidden="1"/>
    </xf>
    <xf numFmtId="0" fontId="30" fillId="4" borderId="4" xfId="0" applyFont="1" applyFill="1" applyBorder="1" applyAlignment="1" applyProtection="1">
      <alignment horizontal="center" vertical="center"/>
      <protection hidden="1"/>
    </xf>
    <xf numFmtId="0" fontId="24" fillId="4" borderId="2" xfId="0" applyFont="1" applyFill="1" applyBorder="1" applyAlignment="1" applyProtection="1">
      <alignment horizontal="center"/>
      <protection hidden="1"/>
    </xf>
    <xf numFmtId="0" fontId="24" fillId="4" borderId="3" xfId="0" applyFont="1" applyFill="1" applyBorder="1" applyAlignment="1" applyProtection="1">
      <alignment horizontal="center"/>
      <protection hidden="1"/>
    </xf>
    <xf numFmtId="0" fontId="24" fillId="4" borderId="4" xfId="0" applyFont="1" applyFill="1" applyBorder="1" applyAlignment="1" applyProtection="1">
      <alignment horizontal="center"/>
      <protection hidden="1"/>
    </xf>
    <xf numFmtId="0" fontId="24" fillId="4" borderId="10" xfId="0" applyFont="1" applyFill="1" applyBorder="1" applyAlignment="1" applyProtection="1">
      <alignment horizontal="center" vertical="center"/>
      <protection hidden="1"/>
    </xf>
    <xf numFmtId="0" fontId="24" fillId="4" borderId="9" xfId="0" applyFont="1" applyFill="1" applyBorder="1" applyAlignment="1" applyProtection="1">
      <alignment horizontal="center" vertical="center"/>
      <protection hidden="1"/>
    </xf>
    <xf numFmtId="0" fontId="24" fillId="4" borderId="11" xfId="0" applyFont="1" applyFill="1" applyBorder="1" applyAlignment="1" applyProtection="1">
      <alignment horizontal="center" vertical="center"/>
      <protection hidden="1"/>
    </xf>
    <xf numFmtId="0" fontId="24" fillId="4" borderId="2" xfId="0" applyFont="1" applyFill="1" applyBorder="1" applyAlignment="1" applyProtection="1">
      <alignment horizontal="center" vertical="center"/>
      <protection hidden="1"/>
    </xf>
    <xf numFmtId="0" fontId="24" fillId="4" borderId="3" xfId="0" applyFont="1" applyFill="1" applyBorder="1" applyAlignment="1" applyProtection="1">
      <alignment horizontal="center" vertical="center"/>
      <protection hidden="1"/>
    </xf>
    <xf numFmtId="0" fontId="24" fillId="4" borderId="4" xfId="0" applyFont="1" applyFill="1" applyBorder="1" applyAlignment="1" applyProtection="1">
      <alignment horizontal="center" vertical="center"/>
      <protection hidden="1"/>
    </xf>
    <xf numFmtId="0" fontId="35" fillId="3" borderId="10" xfId="0" applyFont="1" applyFill="1" applyBorder="1" applyAlignment="1" applyProtection="1">
      <alignment horizontal="center" vertical="center"/>
      <protection hidden="1"/>
    </xf>
    <xf numFmtId="0" fontId="35" fillId="3" borderId="9" xfId="0" applyFont="1" applyFill="1" applyBorder="1" applyAlignment="1" applyProtection="1">
      <alignment horizontal="center" vertical="center"/>
      <protection hidden="1"/>
    </xf>
    <xf numFmtId="0" fontId="35" fillId="3" borderId="11" xfId="0" applyFont="1" applyFill="1" applyBorder="1" applyAlignment="1" applyProtection="1">
      <alignment horizontal="center" vertical="center"/>
      <protection hidden="1"/>
    </xf>
    <xf numFmtId="0" fontId="35" fillId="3" borderId="5" xfId="0" applyFont="1" applyFill="1" applyBorder="1" applyAlignment="1" applyProtection="1">
      <alignment horizontal="center" vertical="center"/>
      <protection hidden="1"/>
    </xf>
    <xf numFmtId="0" fontId="35" fillId="3" borderId="6" xfId="0" applyFont="1" applyFill="1" applyBorder="1" applyAlignment="1" applyProtection="1">
      <alignment horizontal="center" vertical="center"/>
      <protection hidden="1"/>
    </xf>
    <xf numFmtId="0" fontId="35" fillId="3" borderId="8" xfId="0" applyFont="1" applyFill="1" applyBorder="1" applyAlignment="1" applyProtection="1">
      <alignment horizontal="center" vertical="center"/>
      <protection hidden="1"/>
    </xf>
    <xf numFmtId="0" fontId="35" fillId="3" borderId="1" xfId="0" applyFont="1" applyFill="1" applyBorder="1" applyAlignment="1" applyProtection="1">
      <alignment horizontal="center"/>
      <protection hidden="1"/>
    </xf>
    <xf numFmtId="0" fontId="26" fillId="2" borderId="1" xfId="0" applyFont="1" applyFill="1" applyBorder="1" applyAlignment="1" applyProtection="1">
      <alignment horizontal="center"/>
      <protection hidden="1"/>
    </xf>
    <xf numFmtId="0" fontId="30" fillId="2" borderId="1" xfId="0" applyFont="1" applyFill="1" applyBorder="1" applyAlignment="1" applyProtection="1">
      <alignment horizontal="center"/>
      <protection hidden="1"/>
    </xf>
    <xf numFmtId="14" fontId="30" fillId="5" borderId="7" xfId="0" applyNumberFormat="1" applyFont="1" applyFill="1" applyBorder="1" applyAlignment="1" applyProtection="1">
      <alignment horizontal="center"/>
      <protection hidden="1"/>
    </xf>
    <xf numFmtId="0" fontId="30" fillId="5" borderId="8" xfId="0" applyFont="1" applyFill="1" applyBorder="1" applyAlignment="1" applyProtection="1">
      <alignment horizontal="center"/>
      <protection locked="0"/>
    </xf>
    <xf numFmtId="0" fontId="2" fillId="4" borderId="1" xfId="0" applyFont="1" applyFill="1" applyBorder="1" applyAlignment="1" applyProtection="1">
      <alignment horizontal="center"/>
      <protection hidden="1"/>
    </xf>
    <xf numFmtId="0" fontId="10" fillId="0" borderId="1" xfId="0"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10" fillId="4" borderId="1" xfId="0" applyFont="1" applyFill="1" applyBorder="1" applyAlignment="1" applyProtection="1">
      <alignment horizontal="center" vertical="center"/>
      <protection hidden="1"/>
    </xf>
    <xf numFmtId="0" fontId="8" fillId="4" borderId="1" xfId="0" applyFont="1" applyFill="1" applyBorder="1" applyAlignment="1" applyProtection="1">
      <alignment horizontal="center" vertical="center"/>
      <protection hidden="1"/>
    </xf>
    <xf numFmtId="14" fontId="7" fillId="0" borderId="1" xfId="0" applyNumberFormat="1" applyFont="1" applyBorder="1" applyAlignment="1" applyProtection="1">
      <alignment horizontal="center"/>
      <protection hidden="1"/>
    </xf>
    <xf numFmtId="0" fontId="7" fillId="0" borderId="1" xfId="0" applyFont="1" applyBorder="1" applyAlignment="1" applyProtection="1">
      <alignment horizontal="center"/>
      <protection hidden="1"/>
    </xf>
    <xf numFmtId="0" fontId="8" fillId="0" borderId="1" xfId="0" applyFont="1" applyBorder="1" applyAlignment="1" applyProtection="1">
      <alignment horizontal="center"/>
      <protection hidden="1"/>
    </xf>
    <xf numFmtId="0" fontId="6" fillId="3" borderId="2" xfId="0" applyFont="1" applyFill="1" applyBorder="1" applyAlignment="1" applyProtection="1">
      <alignment horizontal="center" vertical="center"/>
      <protection hidden="1"/>
    </xf>
    <xf numFmtId="0" fontId="6" fillId="3" borderId="3" xfId="0" applyFont="1" applyFill="1" applyBorder="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0" fontId="7" fillId="0" borderId="3" xfId="0" applyFont="1" applyBorder="1" applyAlignment="1" applyProtection="1">
      <alignment horizontal="center" vertical="center"/>
      <protection hidden="1"/>
    </xf>
    <xf numFmtId="0" fontId="7" fillId="0" borderId="4" xfId="0"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0" fontId="7" fillId="0" borderId="2" xfId="0" applyFont="1" applyBorder="1" applyAlignment="1" applyProtection="1">
      <alignment horizontal="center"/>
      <protection hidden="1"/>
    </xf>
    <xf numFmtId="0" fontId="7" fillId="0" borderId="3" xfId="0" applyFont="1" applyBorder="1" applyAlignment="1" applyProtection="1">
      <alignment horizontal="center"/>
      <protection hidden="1"/>
    </xf>
    <xf numFmtId="0" fontId="7" fillId="0" borderId="4" xfId="0" applyFont="1" applyBorder="1" applyAlignment="1" applyProtection="1">
      <alignment horizontal="center"/>
      <protection hidden="1"/>
    </xf>
    <xf numFmtId="0" fontId="6" fillId="3" borderId="1" xfId="0" applyFont="1" applyFill="1" applyBorder="1" applyAlignment="1" applyProtection="1">
      <alignment horizontal="center"/>
      <protection hidden="1"/>
    </xf>
    <xf numFmtId="0" fontId="26" fillId="2" borderId="1" xfId="0" applyFont="1" applyFill="1" applyBorder="1" applyAlignment="1" applyProtection="1">
      <alignment horizontal="center" vertical="center"/>
      <protection hidden="1"/>
    </xf>
    <xf numFmtId="0" fontId="24" fillId="2" borderId="1" xfId="0" applyFont="1" applyFill="1" applyBorder="1" applyAlignment="1" applyProtection="1">
      <alignment horizontal="center" vertical="center"/>
      <protection hidden="1"/>
    </xf>
    <xf numFmtId="0" fontId="26" fillId="0" borderId="1" xfId="0" applyFont="1" applyBorder="1" applyAlignment="1" applyProtection="1">
      <alignment horizontal="center" vertical="center"/>
      <protection hidden="1"/>
    </xf>
    <xf numFmtId="0" fontId="34" fillId="0" borderId="1" xfId="0" applyFont="1" applyBorder="1" applyAlignment="1" applyProtection="1">
      <alignment horizontal="left"/>
      <protection hidden="1"/>
    </xf>
    <xf numFmtId="168" fontId="34" fillId="0" borderId="1" xfId="0" applyNumberFormat="1" applyFont="1" applyBorder="1" applyAlignment="1" applyProtection="1">
      <alignment horizontal="center"/>
      <protection hidden="1"/>
    </xf>
    <xf numFmtId="9" fontId="34" fillId="0" borderId="1" xfId="0" applyNumberFormat="1" applyFont="1" applyBorder="1" applyAlignment="1" applyProtection="1">
      <alignment horizontal="center" vertical="center"/>
      <protection hidden="1"/>
    </xf>
    <xf numFmtId="0" fontId="34" fillId="0" borderId="1" xfId="0" applyFont="1" applyBorder="1" applyAlignment="1" applyProtection="1">
      <alignment horizontal="center" vertical="center"/>
      <protection hidden="1"/>
    </xf>
    <xf numFmtId="14" fontId="34" fillId="0" borderId="1" xfId="0" applyNumberFormat="1" applyFont="1" applyBorder="1" applyAlignment="1" applyProtection="1">
      <alignment horizontal="center"/>
      <protection hidden="1"/>
    </xf>
    <xf numFmtId="0" fontId="34" fillId="0" borderId="1" xfId="0" applyFont="1" applyBorder="1" applyAlignment="1" applyProtection="1">
      <alignment horizontal="center"/>
      <protection hidden="1"/>
    </xf>
    <xf numFmtId="14" fontId="34" fillId="0" borderId="1" xfId="0" applyNumberFormat="1" applyFont="1" applyBorder="1" applyAlignment="1" applyProtection="1">
      <alignment horizontal="center"/>
      <protection locked="0"/>
    </xf>
    <xf numFmtId="0" fontId="34" fillId="0" borderId="1" xfId="0" applyFont="1" applyBorder="1" applyAlignment="1" applyProtection="1">
      <alignment horizontal="center"/>
      <protection locked="0"/>
    </xf>
    <xf numFmtId="0" fontId="11" fillId="0" borderId="0" xfId="0"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0" fillId="0" borderId="6" xfId="0" applyFont="1" applyBorder="1" applyAlignment="1" applyProtection="1">
      <alignment horizontal="center"/>
      <protection hidden="1"/>
    </xf>
    <xf numFmtId="0" fontId="34" fillId="2" borderId="2" xfId="0" applyFont="1" applyFill="1" applyBorder="1" applyAlignment="1" applyProtection="1">
      <alignment horizontal="center"/>
      <protection hidden="1"/>
    </xf>
    <xf numFmtId="0" fontId="34" fillId="2" borderId="3" xfId="0" applyFont="1" applyFill="1" applyBorder="1" applyAlignment="1" applyProtection="1">
      <alignment horizontal="center"/>
      <protection hidden="1"/>
    </xf>
    <xf numFmtId="0" fontId="34" fillId="2" borderId="4" xfId="0" applyFont="1" applyFill="1" applyBorder="1" applyAlignment="1" applyProtection="1">
      <alignment horizontal="center"/>
      <protection hidden="1"/>
    </xf>
    <xf numFmtId="0" fontId="35" fillId="0" borderId="0" xfId="0" applyFont="1" applyAlignment="1" applyProtection="1">
      <alignment horizontal="center"/>
      <protection hidden="1"/>
    </xf>
    <xf numFmtId="0" fontId="25" fillId="3" borderId="1" xfId="0" applyFont="1" applyFill="1" applyBorder="1" applyAlignment="1" applyProtection="1">
      <alignment horizontal="center"/>
      <protection hidden="1"/>
    </xf>
    <xf numFmtId="0" fontId="30" fillId="0" borderId="0" xfId="0" applyFont="1" applyAlignment="1" applyProtection="1">
      <alignment horizontal="center" vertical="center"/>
      <protection hidden="1"/>
    </xf>
    <xf numFmtId="14" fontId="30" fillId="0" borderId="1" xfId="0" applyNumberFormat="1" applyFont="1" applyBorder="1" applyAlignment="1" applyProtection="1">
      <alignment horizontal="left"/>
      <protection hidden="1"/>
    </xf>
    <xf numFmtId="0" fontId="26" fillId="4" borderId="1" xfId="0" applyFont="1" applyFill="1" applyBorder="1" applyAlignment="1" applyProtection="1">
      <alignment horizontal="left" vertical="center"/>
      <protection hidden="1"/>
    </xf>
    <xf numFmtId="0" fontId="30" fillId="0" borderId="1" xfId="0" applyFont="1" applyBorder="1" applyAlignment="1" applyProtection="1">
      <alignment horizontal="left"/>
      <protection hidden="1"/>
    </xf>
    <xf numFmtId="0" fontId="25" fillId="3" borderId="1" xfId="0" applyFont="1" applyFill="1" applyBorder="1" applyAlignment="1" applyProtection="1">
      <alignment horizontal="center" vertical="center"/>
      <protection hidden="1"/>
    </xf>
    <xf numFmtId="0" fontId="25" fillId="2" borderId="1" xfId="0" applyFont="1" applyFill="1" applyBorder="1" applyAlignment="1" applyProtection="1">
      <alignment horizontal="center" vertical="center"/>
      <protection hidden="1"/>
    </xf>
    <xf numFmtId="0" fontId="24" fillId="2" borderId="2" xfId="0" applyFont="1" applyFill="1" applyBorder="1" applyAlignment="1" applyProtection="1">
      <alignment horizontal="center" vertical="center"/>
      <protection hidden="1"/>
    </xf>
    <xf numFmtId="0" fontId="24" fillId="2" borderId="3" xfId="0" applyFont="1" applyFill="1" applyBorder="1" applyAlignment="1" applyProtection="1">
      <alignment horizontal="center" vertical="center"/>
      <protection hidden="1"/>
    </xf>
    <xf numFmtId="0" fontId="24" fillId="2" borderId="4" xfId="0" applyFont="1" applyFill="1" applyBorder="1" applyAlignment="1" applyProtection="1">
      <alignment horizontal="center" vertical="center"/>
      <protection hidden="1"/>
    </xf>
    <xf numFmtId="9" fontId="34" fillId="0" borderId="1" xfId="1" applyFont="1" applyBorder="1" applyAlignment="1" applyProtection="1">
      <alignment horizontal="center"/>
      <protection hidden="1"/>
    </xf>
    <xf numFmtId="14" fontId="34" fillId="2" borderId="2" xfId="0" applyNumberFormat="1" applyFont="1" applyFill="1" applyBorder="1" applyAlignment="1" applyProtection="1">
      <alignment horizontal="center"/>
      <protection hidden="1"/>
    </xf>
    <xf numFmtId="14" fontId="34" fillId="2" borderId="3" xfId="0" applyNumberFormat="1" applyFont="1" applyFill="1" applyBorder="1" applyAlignment="1" applyProtection="1">
      <alignment horizontal="center"/>
      <protection hidden="1"/>
    </xf>
    <xf numFmtId="14" fontId="34" fillId="2" borderId="4" xfId="0" applyNumberFormat="1" applyFont="1" applyFill="1" applyBorder="1" applyAlignment="1" applyProtection="1">
      <alignment horizontal="center"/>
      <protection hidden="1"/>
    </xf>
    <xf numFmtId="2" fontId="34" fillId="0" borderId="1" xfId="2" applyNumberFormat="1" applyFont="1" applyBorder="1" applyAlignment="1" applyProtection="1">
      <alignment horizontal="center" vertical="center"/>
      <protection hidden="1"/>
    </xf>
    <xf numFmtId="0" fontId="24" fillId="0" borderId="9" xfId="0" applyFont="1" applyBorder="1" applyAlignment="1" applyProtection="1">
      <alignment horizontal="center"/>
      <protection hidden="1"/>
    </xf>
    <xf numFmtId="0" fontId="34" fillId="0" borderId="10" xfId="0" applyFont="1" applyBorder="1" applyAlignment="1" applyProtection="1">
      <alignment horizontal="left" vertical="top" wrapText="1"/>
      <protection locked="0"/>
    </xf>
    <xf numFmtId="0" fontId="34" fillId="0" borderId="9" xfId="0" applyFont="1" applyBorder="1" applyAlignment="1" applyProtection="1">
      <alignment horizontal="left" vertical="top"/>
      <protection locked="0"/>
    </xf>
    <xf numFmtId="0" fontId="34" fillId="0" borderId="11" xfId="0" applyFont="1" applyBorder="1" applyAlignment="1" applyProtection="1">
      <alignment horizontal="left" vertical="top"/>
      <protection locked="0"/>
    </xf>
    <xf numFmtId="0" fontId="34" fillId="0" borderId="18" xfId="0" applyFont="1" applyBorder="1" applyAlignment="1" applyProtection="1">
      <alignment horizontal="left" vertical="top"/>
      <protection locked="0"/>
    </xf>
    <xf numFmtId="0" fontId="34" fillId="0" borderId="0" xfId="0" applyFont="1" applyAlignment="1" applyProtection="1">
      <alignment horizontal="left" vertical="top"/>
      <protection locked="0"/>
    </xf>
    <xf numFmtId="0" fontId="34" fillId="0" borderId="19" xfId="0" applyFont="1" applyBorder="1" applyAlignment="1" applyProtection="1">
      <alignment horizontal="left" vertical="top"/>
      <protection locked="0"/>
    </xf>
    <xf numFmtId="0" fontId="34" fillId="0" borderId="5" xfId="0" applyFont="1" applyBorder="1" applyAlignment="1" applyProtection="1">
      <alignment horizontal="left" vertical="top"/>
      <protection locked="0"/>
    </xf>
    <xf numFmtId="0" fontId="34" fillId="0" borderId="6" xfId="0" applyFont="1" applyBorder="1" applyAlignment="1" applyProtection="1">
      <alignment horizontal="left" vertical="top"/>
      <protection locked="0"/>
    </xf>
    <xf numFmtId="0" fontId="34" fillId="0" borderId="8" xfId="0" applyFont="1" applyBorder="1" applyAlignment="1" applyProtection="1">
      <alignment horizontal="left" vertical="top"/>
      <protection locked="0"/>
    </xf>
    <xf numFmtId="0" fontId="34" fillId="0" borderId="3" xfId="0" applyFont="1" applyBorder="1" applyAlignment="1" applyProtection="1">
      <alignment horizontal="center"/>
      <protection hidden="1"/>
    </xf>
    <xf numFmtId="0" fontId="30" fillId="0" borderId="1" xfId="0" applyFont="1" applyBorder="1" applyAlignment="1">
      <alignment horizontal="center" vertical="center"/>
    </xf>
    <xf numFmtId="0" fontId="30" fillId="0" borderId="10" xfId="0" applyFont="1" applyBorder="1" applyAlignment="1" applyProtection="1">
      <alignment horizontal="center" vertical="center"/>
      <protection hidden="1"/>
    </xf>
    <xf numFmtId="0" fontId="30" fillId="0" borderId="9" xfId="0" applyFont="1" applyBorder="1" applyAlignment="1" applyProtection="1">
      <alignment horizontal="center" vertical="center"/>
      <protection hidden="1"/>
    </xf>
    <xf numFmtId="0" fontId="30" fillId="0" borderId="11" xfId="0" applyFont="1" applyBorder="1" applyAlignment="1" applyProtection="1">
      <alignment horizontal="center" vertical="center"/>
      <protection hidden="1"/>
    </xf>
    <xf numFmtId="0" fontId="30" fillId="0" borderId="18" xfId="0" applyFont="1" applyBorder="1" applyAlignment="1" applyProtection="1">
      <alignment horizontal="center" vertical="center"/>
      <protection hidden="1"/>
    </xf>
    <xf numFmtId="0" fontId="30" fillId="0" borderId="19" xfId="0" applyFont="1" applyBorder="1" applyAlignment="1" applyProtection="1">
      <alignment horizontal="center" vertical="center"/>
      <protection hidden="1"/>
    </xf>
    <xf numFmtId="0" fontId="30" fillId="0" borderId="5" xfId="0" applyFont="1" applyBorder="1" applyAlignment="1" applyProtection="1">
      <alignment horizontal="center" vertical="center"/>
      <protection hidden="1"/>
    </xf>
    <xf numFmtId="0" fontId="30" fillId="0" borderId="6" xfId="0" applyFont="1" applyBorder="1" applyAlignment="1" applyProtection="1">
      <alignment horizontal="center" vertical="center"/>
      <protection hidden="1"/>
    </xf>
    <xf numFmtId="0" fontId="30" fillId="0" borderId="8" xfId="0" applyFont="1" applyBorder="1" applyAlignment="1" applyProtection="1">
      <alignment horizontal="center" vertical="center"/>
      <protection hidden="1"/>
    </xf>
    <xf numFmtId="0" fontId="30" fillId="0" borderId="1" xfId="0" applyFont="1" applyBorder="1" applyAlignment="1" applyProtection="1">
      <alignment horizontal="center"/>
      <protection hidden="1"/>
    </xf>
    <xf numFmtId="168" fontId="30" fillId="0" borderId="1" xfId="0" applyNumberFormat="1" applyFont="1" applyBorder="1" applyAlignment="1" applyProtection="1">
      <alignment horizontal="center"/>
      <protection hidden="1"/>
    </xf>
    <xf numFmtId="168" fontId="30" fillId="0" borderId="2" xfId="0" applyNumberFormat="1" applyFont="1" applyBorder="1" applyAlignment="1" applyProtection="1">
      <alignment horizontal="center" vertical="center"/>
      <protection hidden="1"/>
    </xf>
    <xf numFmtId="168" fontId="30" fillId="0" borderId="3" xfId="0" applyNumberFormat="1" applyFont="1" applyBorder="1" applyAlignment="1" applyProtection="1">
      <alignment horizontal="center" vertical="center"/>
      <protection hidden="1"/>
    </xf>
    <xf numFmtId="168" fontId="30" fillId="0" borderId="4" xfId="0" applyNumberFormat="1" applyFont="1" applyBorder="1" applyAlignment="1" applyProtection="1">
      <alignment horizontal="center" vertical="center"/>
      <protection hidden="1"/>
    </xf>
    <xf numFmtId="0" fontId="26" fillId="4" borderId="1" xfId="0" applyFont="1" applyFill="1" applyBorder="1" applyAlignment="1" applyProtection="1">
      <alignment horizontal="center" vertical="center"/>
      <protection hidden="1"/>
    </xf>
    <xf numFmtId="165" fontId="2" fillId="0" borderId="2" xfId="0" applyNumberFormat="1" applyFont="1" applyBorder="1" applyAlignment="1" applyProtection="1">
      <alignment horizontal="center" vertical="center"/>
      <protection locked="0"/>
    </xf>
    <xf numFmtId="165" fontId="2" fillId="0" borderId="3" xfId="0" applyNumberFormat="1" applyFont="1" applyBorder="1" applyAlignment="1" applyProtection="1">
      <alignment horizontal="center" vertical="center"/>
      <protection locked="0"/>
    </xf>
    <xf numFmtId="165" fontId="2" fillId="0" borderId="4" xfId="0" applyNumberFormat="1"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0" fontId="10" fillId="0" borderId="4" xfId="0" applyFont="1" applyBorder="1" applyAlignment="1" applyProtection="1">
      <alignment horizontal="center" vertical="center"/>
      <protection locked="0"/>
    </xf>
    <xf numFmtId="0" fontId="2" fillId="0" borderId="2" xfId="0" applyFont="1" applyBorder="1" applyAlignment="1" applyProtection="1">
      <alignment horizontal="left" vertical="center"/>
      <protection locked="0"/>
    </xf>
    <xf numFmtId="0" fontId="2" fillId="0" borderId="3" xfId="0" applyFont="1" applyBorder="1" applyAlignment="1" applyProtection="1">
      <alignment horizontal="left" vertical="center"/>
      <protection locked="0"/>
    </xf>
    <xf numFmtId="0" fontId="2" fillId="0" borderId="4" xfId="0" applyFont="1" applyBorder="1" applyAlignment="1" applyProtection="1">
      <alignment horizontal="left" vertical="center"/>
      <protection locked="0"/>
    </xf>
    <xf numFmtId="165" fontId="2" fillId="0" borderId="2" xfId="0" applyNumberFormat="1" applyFont="1" applyBorder="1" applyAlignment="1" applyProtection="1">
      <alignment horizontal="left" vertical="center" wrapText="1"/>
      <protection locked="0"/>
    </xf>
    <xf numFmtId="165" fontId="2" fillId="0" borderId="3" xfId="0" applyNumberFormat="1" applyFont="1" applyBorder="1" applyAlignment="1" applyProtection="1">
      <alignment horizontal="left" vertical="center" wrapText="1"/>
      <protection locked="0"/>
    </xf>
    <xf numFmtId="165" fontId="2" fillId="0" borderId="4" xfId="0" applyNumberFormat="1" applyFont="1" applyBorder="1" applyAlignment="1" applyProtection="1">
      <alignment horizontal="left" vertical="center" wrapText="1"/>
      <protection locked="0"/>
    </xf>
    <xf numFmtId="165" fontId="2" fillId="0" borderId="2" xfId="0" applyNumberFormat="1" applyFont="1" applyBorder="1" applyAlignment="1" applyProtection="1">
      <alignment horizontal="center"/>
      <protection locked="0"/>
    </xf>
    <xf numFmtId="165" fontId="2" fillId="0" borderId="3" xfId="0" applyNumberFormat="1" applyFont="1" applyBorder="1" applyAlignment="1" applyProtection="1">
      <alignment horizontal="center"/>
      <protection locked="0"/>
    </xf>
    <xf numFmtId="165" fontId="2" fillId="0" borderId="4" xfId="0" applyNumberFormat="1" applyFont="1" applyBorder="1" applyAlignment="1" applyProtection="1">
      <alignment horizontal="center"/>
      <protection locked="0"/>
    </xf>
    <xf numFmtId="0" fontId="2" fillId="0" borderId="0" xfId="0" applyFont="1" applyAlignment="1">
      <alignment horizontal="center" vertical="center"/>
    </xf>
    <xf numFmtId="0" fontId="2" fillId="0" borderId="9" xfId="0" applyFont="1" applyBorder="1" applyAlignment="1">
      <alignment horizontal="center" vertical="center"/>
    </xf>
    <xf numFmtId="0" fontId="6" fillId="3" borderId="1" xfId="0" applyFont="1" applyFill="1" applyBorder="1" applyAlignment="1">
      <alignment horizontal="center"/>
    </xf>
    <xf numFmtId="0" fontId="6" fillId="3" borderId="2" xfId="0" applyFont="1" applyFill="1" applyBorder="1" applyAlignment="1">
      <alignment horizontal="center"/>
    </xf>
    <xf numFmtId="0" fontId="10" fillId="4" borderId="1" xfId="0" applyFont="1" applyFill="1" applyBorder="1" applyAlignment="1">
      <alignment horizontal="left" vertical="center"/>
    </xf>
    <xf numFmtId="0" fontId="2" fillId="0" borderId="1" xfId="0" applyFont="1" applyBorder="1" applyAlignment="1" applyProtection="1">
      <alignment horizontal="left"/>
      <protection locked="0"/>
    </xf>
    <xf numFmtId="0" fontId="2" fillId="0" borderId="1" xfId="0" applyFont="1" applyBorder="1" applyAlignment="1" applyProtection="1">
      <alignment horizontal="center"/>
      <protection locked="0"/>
    </xf>
    <xf numFmtId="0" fontId="2" fillId="0" borderId="5" xfId="0" applyFont="1" applyBorder="1" applyAlignment="1">
      <alignment horizontal="center"/>
    </xf>
    <xf numFmtId="0" fontId="2" fillId="0" borderId="6" xfId="0" applyFont="1" applyBorder="1" applyAlignment="1">
      <alignment horizontal="center"/>
    </xf>
    <xf numFmtId="0" fontId="2" fillId="0" borderId="2" xfId="0" applyFont="1" applyBorder="1" applyAlignment="1" applyProtection="1">
      <alignment horizontal="left" wrapText="1"/>
      <protection locked="0"/>
    </xf>
    <xf numFmtId="0" fontId="2" fillId="0" borderId="3" xfId="0" applyFont="1" applyBorder="1" applyAlignment="1" applyProtection="1">
      <alignment horizontal="left" wrapText="1"/>
      <protection locked="0"/>
    </xf>
    <xf numFmtId="0" fontId="2" fillId="0" borderId="4" xfId="0" applyFont="1" applyBorder="1" applyAlignment="1" applyProtection="1">
      <alignment horizontal="left" wrapText="1"/>
      <protection locked="0"/>
    </xf>
    <xf numFmtId="0" fontId="2" fillId="0" borderId="2"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4" xfId="0" applyFont="1" applyBorder="1" applyAlignment="1" applyProtection="1">
      <alignment horizontal="left"/>
      <protection locked="0"/>
    </xf>
    <xf numFmtId="0" fontId="10" fillId="4" borderId="2" xfId="0" applyFont="1" applyFill="1" applyBorder="1" applyAlignment="1">
      <alignment horizontal="left" vertical="center"/>
    </xf>
    <xf numFmtId="0" fontId="10" fillId="4" borderId="3" xfId="0" applyFont="1" applyFill="1" applyBorder="1" applyAlignment="1">
      <alignment horizontal="left" vertical="center"/>
    </xf>
    <xf numFmtId="0" fontId="10" fillId="4" borderId="4" xfId="0" applyFont="1" applyFill="1" applyBorder="1" applyAlignment="1">
      <alignment horizontal="left" vertical="center"/>
    </xf>
    <xf numFmtId="165" fontId="2" fillId="0" borderId="1" xfId="0" applyNumberFormat="1" applyFont="1" applyBorder="1" applyAlignment="1" applyProtection="1">
      <alignment horizontal="left"/>
      <protection locked="0"/>
    </xf>
    <xf numFmtId="0" fontId="8" fillId="0" borderId="9" xfId="0" applyFont="1" applyBorder="1" applyAlignment="1">
      <alignment horizontal="center" vertical="center"/>
    </xf>
    <xf numFmtId="0" fontId="10" fillId="4" borderId="1" xfId="0" applyFont="1" applyFill="1" applyBorder="1" applyAlignment="1">
      <alignment horizontal="center" vertical="center"/>
    </xf>
    <xf numFmtId="165" fontId="10" fillId="4" borderId="1" xfId="0" applyNumberFormat="1" applyFont="1" applyFill="1" applyBorder="1" applyAlignment="1">
      <alignment horizontal="center"/>
    </xf>
    <xf numFmtId="0" fontId="2" fillId="0" borderId="2" xfId="0" applyFont="1" applyBorder="1" applyAlignment="1" applyProtection="1">
      <alignment horizontal="center"/>
      <protection locked="0"/>
    </xf>
    <xf numFmtId="0" fontId="2" fillId="0" borderId="3" xfId="0" applyFont="1" applyBorder="1" applyAlignment="1" applyProtection="1">
      <alignment horizontal="center"/>
      <protection locked="0"/>
    </xf>
    <xf numFmtId="0" fontId="2" fillId="0" borderId="4" xfId="0" applyFont="1" applyBorder="1" applyAlignment="1" applyProtection="1">
      <alignment horizontal="center"/>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hidden="1"/>
    </xf>
    <xf numFmtId="0" fontId="0" fillId="0" borderId="1" xfId="0" applyBorder="1" applyAlignment="1" applyProtection="1">
      <alignment horizontal="center" vertical="center"/>
      <protection locked="0"/>
    </xf>
    <xf numFmtId="0" fontId="0" fillId="0" borderId="1" xfId="0" applyBorder="1" applyAlignment="1">
      <alignment horizontal="left" vertical="center" wrapText="1"/>
    </xf>
    <xf numFmtId="0" fontId="2" fillId="0" borderId="1" xfId="0" applyFont="1" applyBorder="1" applyAlignment="1" applyProtection="1">
      <alignment horizontal="left" vertical="top" wrapText="1"/>
      <protection locked="0"/>
    </xf>
    <xf numFmtId="0" fontId="0" fillId="0" borderId="1" xfId="0" applyBorder="1" applyAlignment="1" applyProtection="1">
      <alignment horizontal="center" vertical="center"/>
      <protection hidden="1"/>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6" fillId="3" borderId="20" xfId="0" applyFont="1" applyFill="1" applyBorder="1" applyAlignment="1">
      <alignment horizontal="center" vertical="center"/>
    </xf>
    <xf numFmtId="0" fontId="6" fillId="3" borderId="0" xfId="0" applyFont="1" applyFill="1" applyAlignment="1">
      <alignment horizontal="center" vertical="center"/>
    </xf>
    <xf numFmtId="0" fontId="6" fillId="3" borderId="21" xfId="0" applyFont="1" applyFill="1" applyBorder="1" applyAlignment="1">
      <alignment horizontal="center" vertical="center"/>
    </xf>
    <xf numFmtId="0" fontId="2" fillId="0" borderId="0" xfId="0" applyFont="1" applyAlignment="1" applyProtection="1">
      <alignment horizontal="center"/>
      <protection hidden="1"/>
    </xf>
    <xf numFmtId="0" fontId="0" fillId="4" borderId="1" xfId="0" applyFill="1" applyBorder="1" applyAlignment="1" applyProtection="1">
      <alignment horizontal="center"/>
      <protection hidden="1"/>
    </xf>
    <xf numFmtId="0" fontId="33" fillId="3" borderId="1" xfId="0" applyFont="1" applyFill="1" applyBorder="1" applyAlignment="1" applyProtection="1">
      <alignment horizontal="center"/>
      <protection hidden="1"/>
    </xf>
    <xf numFmtId="0" fontId="0" fillId="4" borderId="1" xfId="0" applyFill="1" applyBorder="1" applyAlignment="1" applyProtection="1">
      <alignment horizontal="center" vertical="center"/>
      <protection hidden="1"/>
    </xf>
    <xf numFmtId="0" fontId="33" fillId="3" borderId="1" xfId="0" applyFont="1" applyFill="1" applyBorder="1" applyAlignment="1" applyProtection="1">
      <alignment horizontal="center" vertical="center"/>
      <protection hidden="1"/>
    </xf>
    <xf numFmtId="0" fontId="15" fillId="3" borderId="1" xfId="0" applyFont="1" applyFill="1" applyBorder="1" applyAlignment="1" applyProtection="1">
      <alignment horizontal="center"/>
      <protection hidden="1"/>
    </xf>
    <xf numFmtId="0" fontId="2" fillId="0" borderId="1" xfId="0" applyFont="1" applyBorder="1" applyAlignment="1" applyProtection="1">
      <alignment horizontal="left" vertical="center" wrapText="1"/>
      <protection locked="0"/>
    </xf>
    <xf numFmtId="0" fontId="2" fillId="0" borderId="2" xfId="0" applyFont="1" applyBorder="1" applyAlignment="1" applyProtection="1">
      <alignment horizontal="left" vertical="center" wrapText="1"/>
      <protection locked="0"/>
    </xf>
    <xf numFmtId="0" fontId="2" fillId="0" borderId="3" xfId="0" applyFont="1" applyBorder="1" applyAlignment="1" applyProtection="1">
      <alignment horizontal="left" vertical="center" wrapText="1"/>
      <protection locked="0"/>
    </xf>
    <xf numFmtId="0" fontId="2" fillId="0" borderId="4" xfId="0" applyFont="1" applyBorder="1" applyAlignment="1" applyProtection="1">
      <alignment horizontal="left" vertical="center" wrapText="1"/>
      <protection locked="0"/>
    </xf>
    <xf numFmtId="0" fontId="2" fillId="5" borderId="1" xfId="0" applyFont="1" applyFill="1" applyBorder="1" applyAlignment="1" applyProtection="1">
      <alignment horizontal="center"/>
      <protection hidden="1"/>
    </xf>
    <xf numFmtId="9" fontId="2" fillId="5" borderId="1" xfId="1" applyFont="1" applyFill="1" applyBorder="1" applyAlignment="1" applyProtection="1">
      <alignment horizontal="center"/>
      <protection hidden="1"/>
    </xf>
    <xf numFmtId="0" fontId="10" fillId="5" borderId="1" xfId="0" applyFont="1" applyFill="1" applyBorder="1" applyAlignment="1" applyProtection="1">
      <alignment horizontal="center" vertical="center"/>
      <protection hidden="1"/>
    </xf>
    <xf numFmtId="0" fontId="2" fillId="5" borderId="1" xfId="0" applyFont="1" applyFill="1" applyBorder="1" applyAlignment="1" applyProtection="1">
      <alignment horizontal="center" vertical="center"/>
      <protection hidden="1"/>
    </xf>
    <xf numFmtId="0" fontId="2" fillId="0" borderId="1" xfId="0" applyFont="1" applyBorder="1" applyAlignment="1" applyProtection="1">
      <alignment horizontal="center" vertical="center"/>
      <protection locked="0"/>
    </xf>
    <xf numFmtId="0" fontId="2" fillId="5" borderId="1" xfId="0" applyFont="1" applyFill="1" applyBorder="1" applyAlignment="1" applyProtection="1">
      <alignment horizontal="center"/>
      <protection locked="0"/>
    </xf>
    <xf numFmtId="1" fontId="2" fillId="5" borderId="1" xfId="1" applyNumberFormat="1" applyFont="1" applyFill="1" applyBorder="1" applyAlignment="1" applyProtection="1">
      <alignment horizontal="center"/>
      <protection hidden="1"/>
    </xf>
    <xf numFmtId="0" fontId="10" fillId="4" borderId="1" xfId="0" applyFont="1" applyFill="1" applyBorder="1" applyAlignment="1" applyProtection="1">
      <alignment horizontal="center" vertical="center" wrapText="1"/>
      <protection hidden="1"/>
    </xf>
    <xf numFmtId="0" fontId="2" fillId="4" borderId="1" xfId="0" applyFont="1" applyFill="1" applyBorder="1" applyAlignment="1" applyProtection="1">
      <alignment horizontal="center" vertical="center"/>
      <protection hidden="1"/>
    </xf>
    <xf numFmtId="0" fontId="10" fillId="2" borderId="1" xfId="0" applyFont="1" applyFill="1" applyBorder="1" applyAlignment="1" applyProtection="1">
      <alignment horizontal="center" vertical="center"/>
      <protection hidden="1"/>
    </xf>
    <xf numFmtId="0" fontId="2" fillId="0" borderId="1" xfId="0" applyFont="1" applyBorder="1" applyAlignment="1" applyProtection="1">
      <alignment horizontal="center" vertical="center"/>
      <protection locked="0" hidden="1"/>
    </xf>
    <xf numFmtId="0" fontId="10" fillId="2" borderId="1" xfId="0" applyFont="1" applyFill="1" applyBorder="1" applyAlignment="1" applyProtection="1">
      <alignment horizontal="center"/>
      <protection hidden="1"/>
    </xf>
    <xf numFmtId="0" fontId="10" fillId="4" borderId="1" xfId="0" applyFont="1" applyFill="1" applyBorder="1" applyAlignment="1" applyProtection="1">
      <alignment horizontal="center"/>
      <protection hidden="1"/>
    </xf>
    <xf numFmtId="0" fontId="6" fillId="3" borderId="12" xfId="0" applyFont="1" applyFill="1" applyBorder="1" applyAlignment="1" applyProtection="1">
      <alignment horizontal="center"/>
      <protection hidden="1"/>
    </xf>
    <xf numFmtId="0" fontId="6" fillId="3" borderId="13" xfId="0" applyFont="1" applyFill="1" applyBorder="1" applyAlignment="1" applyProtection="1">
      <alignment horizontal="center"/>
      <protection hidden="1"/>
    </xf>
    <xf numFmtId="0" fontId="6" fillId="3" borderId="14" xfId="0" applyFont="1" applyFill="1" applyBorder="1" applyAlignment="1" applyProtection="1">
      <alignment horizontal="center"/>
      <protection hidden="1"/>
    </xf>
    <xf numFmtId="0" fontId="2" fillId="5" borderId="2" xfId="0" applyFont="1" applyFill="1" applyBorder="1" applyAlignment="1" applyProtection="1">
      <alignment horizontal="center" vertical="center"/>
      <protection hidden="1"/>
    </xf>
    <xf numFmtId="0" fontId="2" fillId="5" borderId="3" xfId="0" applyFont="1" applyFill="1" applyBorder="1" applyAlignment="1" applyProtection="1">
      <alignment horizontal="center" vertical="center"/>
      <protection hidden="1"/>
    </xf>
    <xf numFmtId="0" fontId="2" fillId="5" borderId="4" xfId="0" applyFont="1" applyFill="1" applyBorder="1" applyAlignment="1" applyProtection="1">
      <alignment horizontal="center" vertical="center"/>
      <protection hidden="1"/>
    </xf>
    <xf numFmtId="0" fontId="2" fillId="4" borderId="2" xfId="0" applyFont="1" applyFill="1" applyBorder="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2" fillId="4" borderId="4" xfId="0" applyFont="1" applyFill="1" applyBorder="1" applyAlignment="1" applyProtection="1">
      <alignment horizontal="center" vertical="center"/>
      <protection hidden="1"/>
    </xf>
    <xf numFmtId="0" fontId="24" fillId="0" borderId="1" xfId="0" applyFont="1" applyBorder="1" applyAlignment="1" applyProtection="1">
      <alignment horizontal="center"/>
      <protection locked="0"/>
    </xf>
    <xf numFmtId="14" fontId="24" fillId="0" borderId="1" xfId="0" applyNumberFormat="1" applyFont="1" applyBorder="1" applyAlignment="1" applyProtection="1">
      <alignment horizontal="center"/>
      <protection locked="0"/>
    </xf>
    <xf numFmtId="0" fontId="24" fillId="0" borderId="2" xfId="0" applyFont="1" applyBorder="1" applyAlignment="1" applyProtection="1">
      <alignment horizontal="center"/>
      <protection locked="0"/>
    </xf>
    <xf numFmtId="0" fontId="24" fillId="0" borderId="3" xfId="0" applyFont="1" applyBorder="1" applyAlignment="1" applyProtection="1">
      <alignment horizontal="center"/>
      <protection locked="0"/>
    </xf>
    <xf numFmtId="0" fontId="24" fillId="0" borderId="4" xfId="0" applyFont="1" applyBorder="1" applyAlignment="1" applyProtection="1">
      <alignment horizontal="center"/>
      <protection locked="0"/>
    </xf>
    <xf numFmtId="168" fontId="34" fillId="5" borderId="2" xfId="0" applyNumberFormat="1" applyFont="1" applyFill="1" applyBorder="1" applyAlignment="1" applyProtection="1">
      <alignment horizontal="center" vertical="center"/>
      <protection hidden="1"/>
    </xf>
    <xf numFmtId="168" fontId="34" fillId="5" borderId="3" xfId="0" applyNumberFormat="1" applyFont="1" applyFill="1" applyBorder="1" applyAlignment="1" applyProtection="1">
      <alignment horizontal="center" vertical="center"/>
      <protection hidden="1"/>
    </xf>
    <xf numFmtId="168" fontId="34" fillId="5" borderId="4" xfId="0" applyNumberFormat="1" applyFont="1" applyFill="1" applyBorder="1" applyAlignment="1" applyProtection="1">
      <alignment horizontal="center" vertical="center"/>
      <protection hidden="1"/>
    </xf>
    <xf numFmtId="168" fontId="30" fillId="5" borderId="2" xfId="0" applyNumberFormat="1" applyFont="1" applyFill="1" applyBorder="1" applyAlignment="1">
      <alignment horizontal="center" vertical="center"/>
    </xf>
    <xf numFmtId="168" fontId="30" fillId="5" borderId="3" xfId="0" applyNumberFormat="1" applyFont="1" applyFill="1" applyBorder="1" applyAlignment="1">
      <alignment horizontal="center" vertical="center"/>
    </xf>
    <xf numFmtId="168" fontId="30" fillId="5" borderId="4" xfId="0" applyNumberFormat="1" applyFont="1" applyFill="1" applyBorder="1" applyAlignment="1">
      <alignment horizontal="center" vertical="center"/>
    </xf>
    <xf numFmtId="0" fontId="34" fillId="5" borderId="2" xfId="0" applyFont="1" applyFill="1" applyBorder="1" applyAlignment="1" applyProtection="1">
      <alignment horizontal="left" vertical="center"/>
      <protection hidden="1"/>
    </xf>
    <xf numFmtId="0" fontId="34" fillId="5" borderId="3" xfId="0" applyFont="1" applyFill="1" applyBorder="1" applyAlignment="1" applyProtection="1">
      <alignment horizontal="left" vertical="center"/>
      <protection hidden="1"/>
    </xf>
    <xf numFmtId="0" fontId="30" fillId="5" borderId="2" xfId="0" applyFont="1" applyFill="1" applyBorder="1" applyAlignment="1">
      <alignment horizontal="center" vertical="center"/>
    </xf>
    <xf numFmtId="0" fontId="30" fillId="5" borderId="3" xfId="0" applyFont="1" applyFill="1" applyBorder="1" applyAlignment="1">
      <alignment horizontal="center" vertical="center"/>
    </xf>
    <xf numFmtId="0" fontId="30" fillId="5" borderId="4" xfId="0" applyFont="1" applyFill="1" applyBorder="1" applyAlignment="1">
      <alignment horizontal="center" vertical="center"/>
    </xf>
    <xf numFmtId="2" fontId="30" fillId="5" borderId="1" xfId="0" applyNumberFormat="1" applyFont="1" applyFill="1" applyBorder="1" applyAlignment="1" applyProtection="1">
      <alignment horizontal="center" vertical="center"/>
      <protection hidden="1"/>
    </xf>
    <xf numFmtId="0" fontId="30" fillId="4" borderId="1" xfId="0" applyFont="1" applyFill="1" applyBorder="1" applyAlignment="1" applyProtection="1">
      <alignment horizontal="center" vertical="center"/>
      <protection hidden="1"/>
    </xf>
    <xf numFmtId="0" fontId="30" fillId="5" borderId="1" xfId="0" applyFont="1" applyFill="1" applyBorder="1" applyAlignment="1" applyProtection="1">
      <alignment horizontal="center" vertical="center"/>
      <protection hidden="1"/>
    </xf>
    <xf numFmtId="0" fontId="24" fillId="4" borderId="1" xfId="0" applyFont="1" applyFill="1" applyBorder="1" applyAlignment="1" applyProtection="1">
      <alignment horizontal="center"/>
      <protection hidden="1"/>
    </xf>
    <xf numFmtId="0" fontId="34" fillId="4" borderId="1" xfId="0" applyFont="1" applyFill="1" applyBorder="1" applyAlignment="1" applyProtection="1">
      <alignment horizontal="center"/>
      <protection hidden="1"/>
    </xf>
    <xf numFmtId="2" fontId="30" fillId="5" borderId="2" xfId="0" applyNumberFormat="1" applyFont="1" applyFill="1" applyBorder="1" applyAlignment="1" applyProtection="1">
      <alignment horizontal="center" vertical="center"/>
      <protection hidden="1"/>
    </xf>
    <xf numFmtId="2" fontId="30" fillId="5" borderId="3" xfId="0" applyNumberFormat="1" applyFont="1" applyFill="1" applyBorder="1" applyAlignment="1" applyProtection="1">
      <alignment horizontal="center" vertical="center"/>
      <protection hidden="1"/>
    </xf>
    <xf numFmtId="2" fontId="30" fillId="5" borderId="4" xfId="0" applyNumberFormat="1" applyFont="1" applyFill="1" applyBorder="1" applyAlignment="1" applyProtection="1">
      <alignment horizontal="center" vertical="center"/>
      <protection hidden="1"/>
    </xf>
    <xf numFmtId="0" fontId="24" fillId="4" borderId="6" xfId="0" applyFont="1" applyFill="1" applyBorder="1" applyAlignment="1" applyProtection="1">
      <alignment horizontal="center"/>
      <protection hidden="1"/>
    </xf>
    <xf numFmtId="0" fontId="24" fillId="4" borderId="8" xfId="0" applyFont="1" applyFill="1" applyBorder="1" applyAlignment="1" applyProtection="1">
      <alignment horizontal="center"/>
      <protection hidden="1"/>
    </xf>
    <xf numFmtId="0" fontId="26" fillId="2" borderId="2" xfId="0" applyFont="1" applyFill="1" applyBorder="1" applyAlignment="1" applyProtection="1">
      <alignment horizontal="center"/>
      <protection hidden="1"/>
    </xf>
    <xf numFmtId="0" fontId="26" fillId="2" borderId="3" xfId="0" applyFont="1" applyFill="1" applyBorder="1" applyAlignment="1" applyProtection="1">
      <alignment horizontal="center"/>
      <protection hidden="1"/>
    </xf>
    <xf numFmtId="0" fontId="26" fillId="2" borderId="4" xfId="0" applyFont="1" applyFill="1" applyBorder="1" applyAlignment="1" applyProtection="1">
      <alignment horizontal="center"/>
      <protection hidden="1"/>
    </xf>
    <xf numFmtId="14" fontId="0" fillId="0" borderId="2" xfId="0" applyNumberFormat="1" applyBorder="1"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hidden="1"/>
    </xf>
    <xf numFmtId="0" fontId="0" fillId="0" borderId="3" xfId="0" applyBorder="1" applyAlignment="1" applyProtection="1">
      <alignment horizontal="center" vertical="center"/>
      <protection locked="0" hidden="1"/>
    </xf>
    <xf numFmtId="0" fontId="0" fillId="0" borderId="4" xfId="0" applyBorder="1" applyAlignment="1" applyProtection="1">
      <alignment horizontal="center" vertical="center"/>
      <protection locked="0" hidden="1"/>
    </xf>
    <xf numFmtId="0" fontId="0" fillId="0" borderId="2" xfId="0" applyBorder="1" applyAlignment="1" applyProtection="1">
      <alignment horizontal="left" vertical="top" wrapText="1"/>
      <protection hidden="1"/>
    </xf>
    <xf numFmtId="0" fontId="0" fillId="0" borderId="3"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2"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166" fontId="28" fillId="4" borderId="1" xfId="1" applyNumberFormat="1" applyFont="1" applyFill="1" applyBorder="1" applyAlignment="1" applyProtection="1">
      <alignment horizontal="center" vertical="center"/>
      <protection hidden="1"/>
    </xf>
    <xf numFmtId="0" fontId="0" fillId="0" borderId="9" xfId="0" applyBorder="1" applyAlignment="1" applyProtection="1">
      <alignment horizontal="center" vertical="center"/>
      <protection hidden="1"/>
    </xf>
    <xf numFmtId="0" fontId="0" fillId="0" borderId="11" xfId="0" applyBorder="1" applyAlignment="1" applyProtection="1">
      <alignment horizontal="center" vertical="center"/>
      <protection hidden="1"/>
    </xf>
    <xf numFmtId="0" fontId="0" fillId="0" borderId="10" xfId="0" applyBorder="1" applyAlignment="1" applyProtection="1">
      <alignment horizontal="center" vertical="center"/>
      <protection hidden="1"/>
    </xf>
    <xf numFmtId="0" fontId="29" fillId="4" borderId="1" xfId="0" applyFont="1" applyFill="1" applyBorder="1" applyAlignment="1" applyProtection="1">
      <alignment horizontal="center"/>
      <protection hidden="1"/>
    </xf>
    <xf numFmtId="0" fontId="28" fillId="4" borderId="1" xfId="0" applyFont="1" applyFill="1" applyBorder="1" applyAlignment="1" applyProtection="1">
      <alignment horizontal="center"/>
      <protection hidden="1"/>
    </xf>
    <xf numFmtId="0" fontId="28" fillId="4" borderId="2" xfId="0" applyFont="1" applyFill="1" applyBorder="1" applyAlignment="1" applyProtection="1">
      <alignment horizontal="center"/>
      <protection hidden="1"/>
    </xf>
    <xf numFmtId="0" fontId="28" fillId="4" borderId="3" xfId="0" applyFont="1" applyFill="1" applyBorder="1" applyAlignment="1" applyProtection="1">
      <alignment horizontal="center"/>
      <protection hidden="1"/>
    </xf>
    <xf numFmtId="0" fontId="28" fillId="4" borderId="4" xfId="0" applyFont="1" applyFill="1" applyBorder="1" applyAlignment="1" applyProtection="1">
      <alignment horizontal="center"/>
      <protection hidden="1"/>
    </xf>
    <xf numFmtId="9" fontId="30" fillId="0" borderId="1" xfId="1" applyFont="1" applyBorder="1" applyAlignment="1" applyProtection="1">
      <alignment horizontal="center"/>
      <protection hidden="1"/>
    </xf>
    <xf numFmtId="0" fontId="30" fillId="0" borderId="1" xfId="0" applyFont="1" applyBorder="1" applyAlignment="1" applyProtection="1">
      <alignment horizontal="center" vertical="center"/>
      <protection hidden="1"/>
    </xf>
    <xf numFmtId="9" fontId="30" fillId="0" borderId="1" xfId="0" applyNumberFormat="1" applyFont="1" applyBorder="1" applyAlignment="1" applyProtection="1">
      <alignment horizontal="center"/>
      <protection hidden="1"/>
    </xf>
    <xf numFmtId="168" fontId="30" fillId="0" borderId="1" xfId="0" applyNumberFormat="1" applyFont="1" applyBorder="1" applyAlignment="1" applyProtection="1">
      <alignment horizontal="center" vertical="center"/>
      <protection hidden="1"/>
    </xf>
    <xf numFmtId="0" fontId="30" fillId="0" borderId="1" xfId="0" applyFont="1" applyBorder="1" applyAlignment="1" applyProtection="1">
      <alignment horizontal="left" vertical="center"/>
      <protection hidden="1"/>
    </xf>
    <xf numFmtId="165" fontId="30" fillId="0" borderId="1" xfId="0" applyNumberFormat="1" applyFont="1" applyBorder="1" applyAlignment="1" applyProtection="1">
      <alignment horizontal="left"/>
      <protection hidden="1"/>
    </xf>
    <xf numFmtId="0" fontId="30" fillId="0" borderId="1" xfId="0" applyFont="1" applyBorder="1" applyAlignment="1" applyProtection="1">
      <alignment horizontal="left" vertical="top" wrapText="1"/>
      <protection locked="0"/>
    </xf>
    <xf numFmtId="0" fontId="2" fillId="4" borderId="7" xfId="0" applyFont="1" applyFill="1" applyBorder="1" applyAlignment="1" applyProtection="1">
      <alignment horizontal="center" vertical="center"/>
      <protection hidden="1"/>
    </xf>
    <xf numFmtId="0" fontId="8" fillId="0" borderId="0" xfId="0" applyFont="1" applyAlignment="1" applyProtection="1">
      <alignment horizontal="center" vertical="center"/>
      <protection hidden="1"/>
    </xf>
    <xf numFmtId="0" fontId="25" fillId="3" borderId="1" xfId="0" applyFont="1" applyFill="1" applyBorder="1" applyAlignment="1" applyProtection="1">
      <alignment horizontal="left" vertical="center" indent="1"/>
      <protection hidden="1"/>
    </xf>
    <xf numFmtId="0" fontId="2" fillId="0" borderId="0" xfId="0" applyFont="1" applyAlignment="1" applyProtection="1">
      <alignment horizontal="center" vertical="center"/>
      <protection hidden="1"/>
    </xf>
    <xf numFmtId="0" fontId="26" fillId="0" borderId="17" xfId="0" applyFont="1" applyBorder="1" applyAlignment="1" applyProtection="1">
      <alignment horizontal="center" vertical="center"/>
      <protection hidden="1"/>
    </xf>
    <xf numFmtId="0" fontId="31" fillId="0" borderId="1" xfId="0" applyFont="1" applyBorder="1" applyAlignment="1" applyProtection="1">
      <alignment horizontal="center" vertical="center"/>
      <protection hidden="1"/>
    </xf>
    <xf numFmtId="0" fontId="31" fillId="0" borderId="2" xfId="0" applyFont="1" applyBorder="1" applyAlignment="1" applyProtection="1">
      <alignment horizontal="center" vertical="center"/>
      <protection hidden="1"/>
    </xf>
    <xf numFmtId="0" fontId="30" fillId="0" borderId="7" xfId="0" applyFont="1" applyBorder="1" applyAlignment="1" applyProtection="1">
      <alignment horizontal="center" vertical="center"/>
      <protection hidden="1"/>
    </xf>
    <xf numFmtId="0" fontId="30" fillId="0" borderId="3" xfId="0" applyFont="1" applyBorder="1" applyAlignment="1" applyProtection="1">
      <alignment horizontal="center" vertical="center"/>
      <protection hidden="1"/>
    </xf>
    <xf numFmtId="0" fontId="30" fillId="0" borderId="4" xfId="0" applyFont="1" applyBorder="1" applyAlignment="1" applyProtection="1">
      <alignment horizontal="center" vertical="center"/>
      <protection hidden="1"/>
    </xf>
    <xf numFmtId="0" fontId="30" fillId="0" borderId="5" xfId="0" applyFont="1" applyBorder="1" applyAlignment="1" applyProtection="1">
      <alignment horizontal="center"/>
      <protection hidden="1"/>
    </xf>
    <xf numFmtId="0" fontId="17" fillId="0" borderId="1" xfId="0" applyFont="1" applyBorder="1" applyAlignment="1" applyProtection="1">
      <alignment horizontal="center" vertical="center"/>
      <protection hidden="1"/>
    </xf>
    <xf numFmtId="0" fontId="17" fillId="0" borderId="2" xfId="0" applyFont="1" applyBorder="1" applyAlignment="1" applyProtection="1">
      <alignment horizontal="center" vertical="center"/>
      <protection hidden="1"/>
    </xf>
    <xf numFmtId="0" fontId="24" fillId="0" borderId="9" xfId="0" applyFont="1" applyBorder="1" applyAlignment="1" applyProtection="1">
      <alignment horizontal="center" vertical="center"/>
      <protection hidden="1"/>
    </xf>
    <xf numFmtId="0" fontId="24" fillId="0" borderId="0" xfId="0" applyFont="1" applyAlignment="1" applyProtection="1">
      <alignment horizontal="center" vertical="center"/>
      <protection hidden="1"/>
    </xf>
    <xf numFmtId="0" fontId="7" fillId="0" borderId="6" xfId="0" applyFont="1" applyBorder="1" applyAlignment="1" applyProtection="1">
      <alignment horizontal="center"/>
      <protection hidden="1"/>
    </xf>
    <xf numFmtId="9" fontId="26" fillId="0" borderId="1" xfId="1" applyFont="1" applyBorder="1" applyAlignment="1" applyProtection="1">
      <alignment horizontal="center" vertical="center"/>
      <protection hidden="1"/>
    </xf>
    <xf numFmtId="0" fontId="2" fillId="0" borderId="4" xfId="0" applyFon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2" fillId="0" borderId="2" xfId="0" applyFont="1" applyBorder="1" applyAlignment="1" applyProtection="1">
      <alignment horizontal="center" vertical="center"/>
      <protection hidden="1"/>
    </xf>
    <xf numFmtId="0" fontId="2" fillId="0" borderId="3" xfId="0" applyFont="1" applyBorder="1" applyAlignment="1" applyProtection="1">
      <alignment horizontal="center" vertical="center"/>
      <protection hidden="1"/>
    </xf>
    <xf numFmtId="0" fontId="10" fillId="0" borderId="17" xfId="0" applyFont="1" applyBorder="1" applyAlignment="1" applyProtection="1">
      <alignment horizontal="center" vertical="center"/>
      <protection hidden="1"/>
    </xf>
    <xf numFmtId="0" fontId="30" fillId="0" borderId="1" xfId="0" applyFont="1" applyBorder="1" applyAlignment="1" applyProtection="1">
      <alignment horizontal="left" wrapText="1"/>
      <protection locked="0"/>
    </xf>
    <xf numFmtId="0" fontId="24" fillId="0" borderId="1" xfId="0" applyFont="1" applyBorder="1" applyAlignment="1" applyProtection="1">
      <alignment horizontal="center" vertical="center"/>
      <protection hidden="1"/>
    </xf>
    <xf numFmtId="0" fontId="34" fillId="0" borderId="1" xfId="0" applyFont="1" applyBorder="1" applyAlignment="1" applyProtection="1">
      <alignment horizontal="left" wrapText="1"/>
      <protection hidden="1"/>
    </xf>
    <xf numFmtId="0" fontId="30" fillId="0" borderId="1" xfId="0" applyFont="1" applyBorder="1" applyAlignment="1" applyProtection="1">
      <alignment horizontal="left" wrapText="1"/>
      <protection hidden="1"/>
    </xf>
    <xf numFmtId="0" fontId="36" fillId="0" borderId="5" xfId="0" applyFont="1" applyBorder="1" applyAlignment="1" applyProtection="1">
      <alignment horizontal="center"/>
      <protection hidden="1"/>
    </xf>
    <xf numFmtId="0" fontId="36" fillId="0" borderId="6" xfId="0" applyFont="1" applyBorder="1" applyAlignment="1" applyProtection="1">
      <alignment horizontal="center"/>
      <protection hidden="1"/>
    </xf>
    <xf numFmtId="0" fontId="25" fillId="0" borderId="0" xfId="0" applyFont="1" applyAlignment="1" applyProtection="1">
      <alignment horizontal="center" vertical="center"/>
      <protection hidden="1"/>
    </xf>
    <xf numFmtId="0" fontId="30" fillId="0" borderId="1" xfId="0" applyFont="1" applyBorder="1" applyAlignment="1" applyProtection="1">
      <alignment horizontal="left"/>
      <protection locked="0"/>
    </xf>
    <xf numFmtId="0" fontId="10" fillId="0" borderId="0" xfId="0" applyFont="1" applyAlignment="1" applyProtection="1">
      <alignment horizontal="center"/>
      <protection hidden="1"/>
    </xf>
    <xf numFmtId="0" fontId="2" fillId="0" borderId="9" xfId="0" applyFont="1" applyBorder="1" applyAlignment="1" applyProtection="1">
      <alignment horizontal="center"/>
      <protection hidden="1"/>
    </xf>
    <xf numFmtId="0" fontId="2" fillId="0" borderId="9" xfId="0" applyFont="1" applyBorder="1" applyAlignment="1" applyProtection="1">
      <alignment horizontal="center"/>
      <protection locked="0" hidden="1"/>
    </xf>
    <xf numFmtId="165" fontId="30" fillId="0" borderId="1" xfId="0" applyNumberFormat="1" applyFont="1" applyBorder="1" applyAlignment="1" applyProtection="1">
      <alignment horizontal="left"/>
      <protection locked="0"/>
    </xf>
    <xf numFmtId="0" fontId="2" fillId="0" borderId="0" xfId="0" applyFont="1" applyAlignment="1" applyProtection="1">
      <alignment horizontal="left" vertical="top" wrapText="1"/>
      <protection hidden="1"/>
    </xf>
    <xf numFmtId="0" fontId="30" fillId="4" borderId="1" xfId="0" applyFont="1" applyFill="1" applyBorder="1" applyAlignment="1" applyProtection="1">
      <alignment horizontal="center"/>
      <protection hidden="1"/>
    </xf>
  </cellXfs>
  <cellStyles count="3">
    <cellStyle name="Millares" xfId="2" builtinId="3"/>
    <cellStyle name="Normal" xfId="0" builtinId="0"/>
    <cellStyle name="Porcentaje" xfId="1" builtinId="5"/>
  </cellStyles>
  <dxfs count="81">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4"/>
          <c:order val="4"/>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Seguimiento'!$AC$50:$AC$53</c:f>
              <c:strCache>
                <c:ptCount val="4"/>
                <c:pt idx="0">
                  <c:v>Bajo</c:v>
                </c:pt>
                <c:pt idx="1">
                  <c:v>Medio</c:v>
                </c:pt>
                <c:pt idx="2">
                  <c:v>Alto</c:v>
                </c:pt>
                <c:pt idx="3">
                  <c:v>Crítico</c:v>
                </c:pt>
              </c:strCache>
            </c:strRef>
          </c:cat>
          <c:val>
            <c:numRef>
              <c:f>'Reporte Seguimiento'!$AH$50:$AH$53</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4-4EC6-41E6-9393-0036A5D8B999}"/>
            </c:ext>
          </c:extLst>
        </c:ser>
        <c:dLbls>
          <c:dLblPos val="outEnd"/>
          <c:showLegendKey val="0"/>
          <c:showVal val="1"/>
          <c:showCatName val="0"/>
          <c:showSerName val="0"/>
          <c:showPercent val="0"/>
          <c:showBubbleSize val="0"/>
        </c:dLbls>
        <c:gapWidth val="182"/>
        <c:axId val="470254400"/>
        <c:axId val="470255184"/>
        <c:extLst xmlns:c16r2="http://schemas.microsoft.com/office/drawing/2015/06/chart">
          <c:ext xmlns:c15="http://schemas.microsoft.com/office/drawing/2012/chart" uri="{02D57815-91ED-43cb-92C2-25804820EDAC}">
            <c15:filteredBarSeries>
              <c15: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'Reporte Seguimiento'!$AC$50:$AC$53</c15:sqref>
                        </c15:formulaRef>
                      </c:ext>
                    </c:extLst>
                    <c:strCache>
                      <c:ptCount val="4"/>
                      <c:pt idx="0">
                        <c:v>Bajo</c:v>
                      </c:pt>
                      <c:pt idx="1">
                        <c:v>Medio</c:v>
                      </c:pt>
                      <c:pt idx="2">
                        <c:v>Alto</c:v>
                      </c:pt>
                      <c:pt idx="3">
                        <c:v>Crítico</c:v>
                      </c:pt>
                    </c:strCache>
                  </c:strRef>
                </c:cat>
                <c:val>
                  <c:numRef>
                    <c:extLst xmlns:c16r2="http://schemas.microsoft.com/office/drawing/2015/06/chart">
                      <c:ext uri="{02D57815-91ED-43cb-92C2-25804820EDAC}">
                        <c15:formulaRef>
                          <c15:sqref>'Reporte Seguimiento'!$AD$50:$AD$53</c15:sqref>
                        </c15:formulaRef>
                      </c:ext>
                    </c:extLst>
                    <c:numCache>
                      <c:formatCode>General</c:formatCode>
                      <c:ptCount val="4"/>
                    </c:numCache>
                  </c:numRef>
                </c:val>
                <c:extLst xmlns:c16r2="http://schemas.microsoft.com/office/drawing/2015/06/chart">
                  <c:ext xmlns:c16="http://schemas.microsoft.com/office/drawing/2014/chart" uri="{C3380CC4-5D6E-409C-BE32-E72D297353CC}">
                    <c16:uniqueId val="{00000000-4EC6-41E6-9393-0036A5D8B999}"/>
                  </c:ext>
                </c:extLst>
              </c15:ser>
            </c15:filteredBarSeries>
            <c15:filteredBarSeries>
              <c15: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Seguimiento'!$AC$50:$AC$53</c15:sqref>
                        </c15:formulaRef>
                      </c:ext>
                    </c:extLst>
                    <c:strCache>
                      <c:ptCount val="4"/>
                      <c:pt idx="0">
                        <c:v>Bajo</c:v>
                      </c:pt>
                      <c:pt idx="1">
                        <c:v>Medio</c:v>
                      </c:pt>
                      <c:pt idx="2">
                        <c:v>Alto</c:v>
                      </c:pt>
                      <c:pt idx="3">
                        <c:v>Crítico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Seguimiento'!$AE$50:$AE$53</c15:sqref>
                        </c15:formulaRef>
                      </c:ext>
                    </c:extLst>
                    <c:numCache>
                      <c:formatCode>General</c:formatCode>
                      <c:ptCount val="4"/>
                    </c:numCache>
                  </c:numRef>
                </c:val>
                <c:extLst xmlns:c16r2="http://schemas.microsoft.com/office/drawing/2015/06/chart" xmlns:c15="http://schemas.microsoft.com/office/drawing/2012/chart">
                  <c:ext xmlns:c16="http://schemas.microsoft.com/office/drawing/2014/chart" uri="{C3380CC4-5D6E-409C-BE32-E72D297353CC}">
                    <c16:uniqueId val="{00000001-4EC6-41E6-9393-0036A5D8B999}"/>
                  </c:ext>
                </c:extLst>
              </c15:ser>
            </c15:filteredBarSeries>
            <c15:filteredBarSeries>
              <c15: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Seguimiento'!$AC$50:$AC$53</c15:sqref>
                        </c15:formulaRef>
                      </c:ext>
                    </c:extLst>
                    <c:strCache>
                      <c:ptCount val="4"/>
                      <c:pt idx="0">
                        <c:v>Bajo</c:v>
                      </c:pt>
                      <c:pt idx="1">
                        <c:v>Medio</c:v>
                      </c:pt>
                      <c:pt idx="2">
                        <c:v>Alto</c:v>
                      </c:pt>
                      <c:pt idx="3">
                        <c:v>Crítico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Seguimiento'!$AF$50:$AF$53</c15:sqref>
                        </c15:formulaRef>
                      </c:ext>
                    </c:extLst>
                    <c:numCache>
                      <c:formatCode>General</c:formatCode>
                      <c:ptCount val="4"/>
                    </c:numCache>
                  </c:numRef>
                </c:val>
                <c:extLst xmlns:c16r2="http://schemas.microsoft.com/office/drawing/2015/06/chart" xmlns:c15="http://schemas.microsoft.com/office/drawing/2012/chart">
                  <c:ext xmlns:c16="http://schemas.microsoft.com/office/drawing/2014/chart" uri="{C3380CC4-5D6E-409C-BE32-E72D297353CC}">
                    <c16:uniqueId val="{00000002-4EC6-41E6-9393-0036A5D8B999}"/>
                  </c:ext>
                </c:extLst>
              </c15:ser>
            </c15:filteredBarSeries>
            <c15:filteredBarSeries>
              <c15: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Seguimiento'!$AC$50:$AC$53</c15:sqref>
                        </c15:formulaRef>
                      </c:ext>
                    </c:extLst>
                    <c:strCache>
                      <c:ptCount val="4"/>
                      <c:pt idx="0">
                        <c:v>Bajo</c:v>
                      </c:pt>
                      <c:pt idx="1">
                        <c:v>Medio</c:v>
                      </c:pt>
                      <c:pt idx="2">
                        <c:v>Alto</c:v>
                      </c:pt>
                      <c:pt idx="3">
                        <c:v>Crítico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Seguimiento'!$AG$50:$AG$53</c15:sqref>
                        </c15:formulaRef>
                      </c:ext>
                    </c:extLst>
                    <c:numCache>
                      <c:formatCode>General</c:formatCode>
                      <c:ptCount val="4"/>
                    </c:numCache>
                  </c:numRef>
                </c:val>
                <c:extLst xmlns:c16r2="http://schemas.microsoft.com/office/drawing/2015/06/chart" xmlns:c15="http://schemas.microsoft.com/office/drawing/2012/chart">
                  <c:ext xmlns:c16="http://schemas.microsoft.com/office/drawing/2014/chart" uri="{C3380CC4-5D6E-409C-BE32-E72D297353CC}">
                    <c16:uniqueId val="{00000003-4EC6-41E6-9393-0036A5D8B999}"/>
                  </c:ext>
                </c:extLst>
              </c15:ser>
            </c15:filteredBarSeries>
          </c:ext>
        </c:extLst>
      </c:barChart>
      <c:catAx>
        <c:axId val="47025440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70255184"/>
        <c:crosses val="autoZero"/>
        <c:auto val="1"/>
        <c:lblAlgn val="ctr"/>
        <c:lblOffset val="100"/>
        <c:noMultiLvlLbl val="0"/>
      </c:catAx>
      <c:valAx>
        <c:axId val="47025518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70254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4"/>
          <c:order val="4"/>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Seguimiento'!$C$58:$C$60</c:f>
              <c:strCache>
                <c:ptCount val="3"/>
                <c:pt idx="0">
                  <c:v>Error </c:v>
                </c:pt>
                <c:pt idx="1">
                  <c:v>Sug/Mejora</c:v>
                </c:pt>
                <c:pt idx="2">
                  <c:v>Hallazgo</c:v>
                </c:pt>
              </c:strCache>
            </c:strRef>
          </c:cat>
          <c:val>
            <c:numRef>
              <c:f>'Reporte Seguimiento'!$H$58:$H$60</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AF7F-4AF3-8540-3FB56E1C0E06}"/>
            </c:ext>
          </c:extLst>
        </c:ser>
        <c:dLbls>
          <c:dLblPos val="outEnd"/>
          <c:showLegendKey val="0"/>
          <c:showVal val="1"/>
          <c:showCatName val="0"/>
          <c:showSerName val="0"/>
          <c:showPercent val="0"/>
          <c:showBubbleSize val="0"/>
        </c:dLbls>
        <c:gapWidth val="182"/>
        <c:axId val="473377960"/>
        <c:axId val="473381096"/>
        <c:extLst xmlns:c16r2="http://schemas.microsoft.com/office/drawing/2015/06/chart">
          <c:ext xmlns:c15="http://schemas.microsoft.com/office/drawing/2012/chart" uri="{02D57815-91ED-43cb-92C2-25804820EDAC}">
            <c15:filteredBarSeries>
              <c15: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'Reporte Seguimiento'!$C$58:$C$60</c15:sqref>
                        </c15:formulaRef>
                      </c:ext>
                    </c:extLst>
                    <c:strCache>
                      <c:ptCount val="3"/>
                      <c:pt idx="0">
                        <c:v>Error </c:v>
                      </c:pt>
                      <c:pt idx="1">
                        <c:v>Sug/Mejora</c:v>
                      </c:pt>
                      <c:pt idx="2">
                        <c:v>Hallazgo</c:v>
                      </c:pt>
                    </c:strCache>
                  </c:strRef>
                </c:cat>
                <c:val>
                  <c:numRef>
                    <c:extLst xmlns:c16r2="http://schemas.microsoft.com/office/drawing/2015/06/chart">
                      <c:ext uri="{02D57815-91ED-43cb-92C2-25804820EDAC}">
                        <c15:formulaRef>
                          <c15:sqref>'Reporte Seguimiento'!$D$58:$D$60</c15:sqref>
                        </c15:formulaRef>
                      </c:ext>
                    </c:extLst>
                    <c:numCache>
                      <c:formatCode>General</c:formatCode>
                      <c:ptCount val="3"/>
                    </c:numCache>
                  </c:numRef>
                </c:val>
                <c:extLst xmlns:c16r2="http://schemas.microsoft.com/office/drawing/2015/06/chart">
                  <c:ext xmlns:c16="http://schemas.microsoft.com/office/drawing/2014/chart" uri="{C3380CC4-5D6E-409C-BE32-E72D297353CC}">
                    <c16:uniqueId val="{00000000-AF7F-4AF3-8540-3FB56E1C0E06}"/>
                  </c:ext>
                </c:extLst>
              </c15:ser>
            </c15:filteredBarSeries>
            <c15:filteredBarSeries>
              <c15: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Seguimiento'!$C$58:$C$60</c15:sqref>
                        </c15:formulaRef>
                      </c:ext>
                    </c:extLst>
                    <c:strCache>
                      <c:ptCount val="3"/>
                      <c:pt idx="0">
                        <c:v>Error </c:v>
                      </c:pt>
                      <c:pt idx="1">
                        <c:v>Sug/Mejora</c:v>
                      </c:pt>
                      <c:pt idx="2">
                        <c:v>Hallazgo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Seguimiento'!$E$58:$E$60</c15:sqref>
                        </c15:formulaRef>
                      </c:ext>
                    </c:extLst>
                    <c:numCache>
                      <c:formatCode>General</c:formatCode>
                      <c:ptCount val="3"/>
                    </c:numCache>
                  </c:numRef>
                </c:val>
                <c:extLst xmlns:c16r2="http://schemas.microsoft.com/office/drawing/2015/06/chart" xmlns:c15="http://schemas.microsoft.com/office/drawing/2012/chart">
                  <c:ext xmlns:c16="http://schemas.microsoft.com/office/drawing/2014/chart" uri="{C3380CC4-5D6E-409C-BE32-E72D297353CC}">
                    <c16:uniqueId val="{00000001-AF7F-4AF3-8540-3FB56E1C0E06}"/>
                  </c:ext>
                </c:extLst>
              </c15:ser>
            </c15:filteredBarSeries>
            <c15:filteredBarSeries>
              <c15: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Seguimiento'!$C$58:$C$60</c15:sqref>
                        </c15:formulaRef>
                      </c:ext>
                    </c:extLst>
                    <c:strCache>
                      <c:ptCount val="3"/>
                      <c:pt idx="0">
                        <c:v>Error </c:v>
                      </c:pt>
                      <c:pt idx="1">
                        <c:v>Sug/Mejora</c:v>
                      </c:pt>
                      <c:pt idx="2">
                        <c:v>Hallazgo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Seguimiento'!$F$58:$F$60</c15:sqref>
                        </c15:formulaRef>
                      </c:ext>
                    </c:extLst>
                    <c:numCache>
                      <c:formatCode>General</c:formatCode>
                      <c:ptCount val="3"/>
                    </c:numCache>
                  </c:numRef>
                </c:val>
                <c:extLst xmlns:c16r2="http://schemas.microsoft.com/office/drawing/2015/06/chart" xmlns:c15="http://schemas.microsoft.com/office/drawing/2012/chart">
                  <c:ext xmlns:c16="http://schemas.microsoft.com/office/drawing/2014/chart" uri="{C3380CC4-5D6E-409C-BE32-E72D297353CC}">
                    <c16:uniqueId val="{00000002-AF7F-4AF3-8540-3FB56E1C0E06}"/>
                  </c:ext>
                </c:extLst>
              </c15:ser>
            </c15:filteredBarSeries>
            <c15:filteredBarSeries>
              <c15: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Seguimiento'!$C$58:$C$60</c15:sqref>
                        </c15:formulaRef>
                      </c:ext>
                    </c:extLst>
                    <c:strCache>
                      <c:ptCount val="3"/>
                      <c:pt idx="0">
                        <c:v>Error </c:v>
                      </c:pt>
                      <c:pt idx="1">
                        <c:v>Sug/Mejora</c:v>
                      </c:pt>
                      <c:pt idx="2">
                        <c:v>Hallazgo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Seguimiento'!$G$58:$G$60</c15:sqref>
                        </c15:formulaRef>
                      </c:ext>
                    </c:extLst>
                    <c:numCache>
                      <c:formatCode>General</c:formatCode>
                      <c:ptCount val="3"/>
                    </c:numCache>
                  </c:numRef>
                </c:val>
                <c:extLst xmlns:c16r2="http://schemas.microsoft.com/office/drawing/2015/06/chart" xmlns:c15="http://schemas.microsoft.com/office/drawing/2012/chart">
                  <c:ext xmlns:c16="http://schemas.microsoft.com/office/drawing/2014/chart" uri="{C3380CC4-5D6E-409C-BE32-E72D297353CC}">
                    <c16:uniqueId val="{00000003-AF7F-4AF3-8540-3FB56E1C0E06}"/>
                  </c:ext>
                </c:extLst>
              </c15:ser>
            </c15:filteredBarSeries>
          </c:ext>
        </c:extLst>
      </c:barChart>
      <c:catAx>
        <c:axId val="473377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73381096"/>
        <c:crosses val="autoZero"/>
        <c:auto val="1"/>
        <c:lblAlgn val="ctr"/>
        <c:lblOffset val="100"/>
        <c:noMultiLvlLbl val="0"/>
      </c:catAx>
      <c:valAx>
        <c:axId val="473381096"/>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73377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4"/>
          <c:order val="4"/>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Seguimiento'!$AC$58:$AC$61</c:f>
              <c:strCache>
                <c:ptCount val="4"/>
                <c:pt idx="0">
                  <c:v>Funcional</c:v>
                </c:pt>
                <c:pt idx="1">
                  <c:v>Documentac</c:v>
                </c:pt>
                <c:pt idx="2">
                  <c:v>Usabilidad</c:v>
                </c:pt>
                <c:pt idx="3">
                  <c:v>Seguridad</c:v>
                </c:pt>
              </c:strCache>
            </c:strRef>
          </c:cat>
          <c:val>
            <c:numRef>
              <c:f>'Reporte Seguimiento'!$AH$58:$AH$61</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4-1352-4DAE-8A3F-7FC054CAA0FE}"/>
            </c:ext>
          </c:extLst>
        </c:ser>
        <c:dLbls>
          <c:dLblPos val="outEnd"/>
          <c:showLegendKey val="0"/>
          <c:showVal val="1"/>
          <c:showCatName val="0"/>
          <c:showSerName val="0"/>
          <c:showPercent val="0"/>
          <c:showBubbleSize val="0"/>
        </c:dLbls>
        <c:gapWidth val="182"/>
        <c:axId val="473376392"/>
        <c:axId val="473379920"/>
        <c:extLst xmlns:c16r2="http://schemas.microsoft.com/office/drawing/2015/06/chart">
          <c:ext xmlns:c15="http://schemas.microsoft.com/office/drawing/2012/chart" uri="{02D57815-91ED-43cb-92C2-25804820EDAC}">
            <c15:filteredBarSeries>
              <c15: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'Reporte Seguimiento'!$AC$58:$AC$61</c15:sqref>
                        </c15:formulaRef>
                      </c:ext>
                    </c:extLst>
                    <c:strCache>
                      <c:ptCount val="4"/>
                      <c:pt idx="0">
                        <c:v>Funcional</c:v>
                      </c:pt>
                      <c:pt idx="1">
                        <c:v>Documentac</c:v>
                      </c:pt>
                      <c:pt idx="2">
                        <c:v>Usabilidad</c:v>
                      </c:pt>
                      <c:pt idx="3">
                        <c:v>Seguridad</c:v>
                      </c:pt>
                    </c:strCache>
                  </c:strRef>
                </c:cat>
                <c:val>
                  <c:numRef>
                    <c:extLst xmlns:c16r2="http://schemas.microsoft.com/office/drawing/2015/06/chart">
                      <c:ext uri="{02D57815-91ED-43cb-92C2-25804820EDAC}">
                        <c15:formulaRef>
                          <c15:sqref>'Reporte Seguimiento'!$AD$58:$AD$61</c15:sqref>
                        </c15:formulaRef>
                      </c:ext>
                    </c:extLst>
                    <c:numCache>
                      <c:formatCode>General</c:formatCode>
                      <c:ptCount val="4"/>
                    </c:numCache>
                  </c:numRef>
                </c:val>
                <c:extLst xmlns:c16r2="http://schemas.microsoft.com/office/drawing/2015/06/chart">
                  <c:ext xmlns:c16="http://schemas.microsoft.com/office/drawing/2014/chart" uri="{C3380CC4-5D6E-409C-BE32-E72D297353CC}">
                    <c16:uniqueId val="{00000000-1352-4DAE-8A3F-7FC054CAA0FE}"/>
                  </c:ext>
                </c:extLst>
              </c15:ser>
            </c15:filteredBarSeries>
            <c15:filteredBarSeries>
              <c15: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Seguimiento'!$AC$58:$AC$61</c15:sqref>
                        </c15:formulaRef>
                      </c:ext>
                    </c:extLst>
                    <c:strCache>
                      <c:ptCount val="4"/>
                      <c:pt idx="0">
                        <c:v>Funcional</c:v>
                      </c:pt>
                      <c:pt idx="1">
                        <c:v>Documentac</c:v>
                      </c:pt>
                      <c:pt idx="2">
                        <c:v>Usabilidad</c:v>
                      </c:pt>
                      <c:pt idx="3">
                        <c:v>Seguridad</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Seguimiento'!$AE$58:$AE$61</c15:sqref>
                        </c15:formulaRef>
                      </c:ext>
                    </c:extLst>
                    <c:numCache>
                      <c:formatCode>General</c:formatCode>
                      <c:ptCount val="4"/>
                    </c:numCache>
                  </c:numRef>
                </c:val>
                <c:extLst xmlns:c16r2="http://schemas.microsoft.com/office/drawing/2015/06/chart" xmlns:c15="http://schemas.microsoft.com/office/drawing/2012/chart">
                  <c:ext xmlns:c16="http://schemas.microsoft.com/office/drawing/2014/chart" uri="{C3380CC4-5D6E-409C-BE32-E72D297353CC}">
                    <c16:uniqueId val="{00000001-1352-4DAE-8A3F-7FC054CAA0FE}"/>
                  </c:ext>
                </c:extLst>
              </c15:ser>
            </c15:filteredBarSeries>
            <c15:filteredBarSeries>
              <c15: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Seguimiento'!$AC$58:$AC$61</c15:sqref>
                        </c15:formulaRef>
                      </c:ext>
                    </c:extLst>
                    <c:strCache>
                      <c:ptCount val="4"/>
                      <c:pt idx="0">
                        <c:v>Funcional</c:v>
                      </c:pt>
                      <c:pt idx="1">
                        <c:v>Documentac</c:v>
                      </c:pt>
                      <c:pt idx="2">
                        <c:v>Usabilidad</c:v>
                      </c:pt>
                      <c:pt idx="3">
                        <c:v>Seguridad</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Seguimiento'!$AF$58:$AF$61</c15:sqref>
                        </c15:formulaRef>
                      </c:ext>
                    </c:extLst>
                    <c:numCache>
                      <c:formatCode>General</c:formatCode>
                      <c:ptCount val="4"/>
                    </c:numCache>
                  </c:numRef>
                </c:val>
                <c:extLst xmlns:c16r2="http://schemas.microsoft.com/office/drawing/2015/06/chart" xmlns:c15="http://schemas.microsoft.com/office/drawing/2012/chart">
                  <c:ext xmlns:c16="http://schemas.microsoft.com/office/drawing/2014/chart" uri="{C3380CC4-5D6E-409C-BE32-E72D297353CC}">
                    <c16:uniqueId val="{00000002-1352-4DAE-8A3F-7FC054CAA0FE}"/>
                  </c:ext>
                </c:extLst>
              </c15:ser>
            </c15:filteredBarSeries>
            <c15:filteredBarSeries>
              <c15: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Seguimiento'!$AC$58:$AC$61</c15:sqref>
                        </c15:formulaRef>
                      </c:ext>
                    </c:extLst>
                    <c:strCache>
                      <c:ptCount val="4"/>
                      <c:pt idx="0">
                        <c:v>Funcional</c:v>
                      </c:pt>
                      <c:pt idx="1">
                        <c:v>Documentac</c:v>
                      </c:pt>
                      <c:pt idx="2">
                        <c:v>Usabilidad</c:v>
                      </c:pt>
                      <c:pt idx="3">
                        <c:v>Seguridad</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Seguimiento'!$AG$58:$AG$61</c15:sqref>
                        </c15:formulaRef>
                      </c:ext>
                    </c:extLst>
                    <c:numCache>
                      <c:formatCode>General</c:formatCode>
                      <c:ptCount val="4"/>
                    </c:numCache>
                  </c:numRef>
                </c:val>
                <c:extLst xmlns:c16r2="http://schemas.microsoft.com/office/drawing/2015/06/chart" xmlns:c15="http://schemas.microsoft.com/office/drawing/2012/chart">
                  <c:ext xmlns:c16="http://schemas.microsoft.com/office/drawing/2014/chart" uri="{C3380CC4-5D6E-409C-BE32-E72D297353CC}">
                    <c16:uniqueId val="{00000003-1352-4DAE-8A3F-7FC054CAA0FE}"/>
                  </c:ext>
                </c:extLst>
              </c15:ser>
            </c15:filteredBarSeries>
          </c:ext>
        </c:extLst>
      </c:barChart>
      <c:catAx>
        <c:axId val="4733763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73379920"/>
        <c:crosses val="autoZero"/>
        <c:auto val="1"/>
        <c:lblAlgn val="ctr"/>
        <c:lblOffset val="100"/>
        <c:noMultiLvlLbl val="0"/>
      </c:catAx>
      <c:valAx>
        <c:axId val="473379920"/>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73376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516211067766439"/>
          <c:y val="1.0997483019619477E-2"/>
          <c:w val="0.46777929724049577"/>
          <c:h val="0.98900251698038055"/>
        </c:manualLayout>
      </c:layout>
      <c:doughnutChart>
        <c:varyColors val="1"/>
        <c:ser>
          <c:idx val="16"/>
          <c:order val="16"/>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0"/>
            <c:extLst xmlns:c16r2="http://schemas.microsoft.com/office/drawing/2015/06/chart">
              <c:ext xmlns:c15="http://schemas.microsoft.com/office/drawing/2012/chart" uri="{CE6537A1-D6FC-4f65-9D91-7224C49458BB}"/>
            </c:extLst>
          </c:dLbls>
          <c:cat>
            <c:strRef>
              <c:f>'Reporte Seguimiento'!$C$70:$C$82</c:f>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f>'Reporte Seguimiento'!$T$70:$T$82</c:f>
              <c:numCache>
                <c:formatCode>General</c:formatCode>
                <c:ptCount val="13"/>
                <c:pt idx="0">
                  <c:v>0</c:v>
                </c:pt>
                <c:pt idx="1">
                  <c:v>0</c:v>
                </c:pt>
                <c:pt idx="2">
                  <c:v>0</c:v>
                </c:pt>
                <c:pt idx="3">
                  <c:v>0</c:v>
                </c:pt>
                <c:pt idx="4">
                  <c:v>0</c:v>
                </c:pt>
                <c:pt idx="5">
                  <c:v>0</c:v>
                </c:pt>
                <c:pt idx="6">
                  <c:v>0</c:v>
                </c:pt>
                <c:pt idx="7">
                  <c:v>0</c:v>
                </c:pt>
                <c:pt idx="8">
                  <c:v>57.25</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10-B9A4-43E5-B629-162F8E3131BD}"/>
            </c:ext>
          </c:extLst>
        </c:ser>
        <c:dLbls>
          <c:showLegendKey val="0"/>
          <c:showVal val="1"/>
          <c:showCatName val="0"/>
          <c:showSerName val="0"/>
          <c:showPercent val="0"/>
          <c:showBubbleSize val="0"/>
          <c:showLeaderLines val="0"/>
        </c:dLbls>
        <c:firstSliceAng val="0"/>
        <c:holeSize val="70"/>
        <c:extLst xmlns:c16r2="http://schemas.microsoft.com/office/drawing/2015/06/chart">
          <c:ext xmlns:c15="http://schemas.microsoft.com/office/drawing/2012/chart" uri="{02D57815-91ED-43cb-92C2-25804820EDAC}">
            <c15:filteredPieSeries>
              <c15:ser>
                <c:idx val="0"/>
                <c:order val="0"/>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c:ext uri="{CE6537A1-D6FC-4f65-9D91-7224C49458BB}"/>
                  </c:extLst>
                </c:dLbls>
                <c:cat>
                  <c:strRef>
                    <c:extLst xmlns:c16r2="http://schemas.microsoft.com/office/drawing/2015/06/chart">
                      <c:ex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c:ext uri="{02D57815-91ED-43cb-92C2-25804820EDAC}">
                        <c15:formulaRef>
                          <c15:sqref>'Reporte Seguimiento'!$D$70:$D$82</c15:sqref>
                        </c15:formulaRef>
                      </c:ext>
                    </c:extLst>
                    <c:numCache>
                      <c:formatCode>General</c:formatCode>
                      <c:ptCount val="13"/>
                    </c:numCache>
                  </c:numRef>
                </c:val>
                <c:extLst xmlns:c16r2="http://schemas.microsoft.com/office/drawing/2015/06/chart">
                  <c:ext xmlns:c16="http://schemas.microsoft.com/office/drawing/2014/chart" uri="{C3380CC4-5D6E-409C-BE32-E72D297353CC}">
                    <c16:uniqueId val="{00000000-B9A4-43E5-B629-162F8E3131BD}"/>
                  </c:ext>
                </c:extLst>
              </c15:ser>
            </c15:filteredPieSeries>
            <c15:filteredPieSeries>
              <c15:ser>
                <c:idx val="1"/>
                <c:order val="1"/>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3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3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3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3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4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4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4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4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4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4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4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4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5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Seguimiento'!$E$70:$E$82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1-B9A4-43E5-B629-162F8E3131BD}"/>
                  </c:ext>
                </c:extLst>
              </c15:ser>
            </c15:filteredPieSeries>
            <c15:filteredPieSeries>
              <c15:ser>
                <c:idx val="2"/>
                <c:order val="2"/>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5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5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5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5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5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5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6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6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6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6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6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6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6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Seguimiento'!$F$70:$F$82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2-B9A4-43E5-B629-162F8E3131BD}"/>
                  </c:ext>
                </c:extLst>
              </c15:ser>
            </c15:filteredPieSeries>
            <c15:filteredPieSeries>
              <c15:ser>
                <c:idx val="3"/>
                <c:order val="3"/>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7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7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7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7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7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7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7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7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8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8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8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8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8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Seguimiento'!$G$70:$G$82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3-B9A4-43E5-B629-162F8E3131BD}"/>
                  </c:ext>
                </c:extLst>
              </c15:ser>
            </c15:filteredPieSeries>
            <c15:filteredPieSeries>
              <c15:ser>
                <c:idx val="4"/>
                <c:order val="4"/>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8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8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9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9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9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9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9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9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9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9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A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A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A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Seguimiento'!$H$70:$H$82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4-B9A4-43E5-B629-162F8E3131BD}"/>
                  </c:ext>
                </c:extLst>
              </c15:ser>
            </c15:filteredPieSeries>
            <c15:filteredPieSeries>
              <c15:ser>
                <c:idx val="5"/>
                <c:order val="5"/>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A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A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A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A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B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B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B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B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B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B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B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B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C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Seguimiento'!$I$70:$I$82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5-B9A4-43E5-B629-162F8E3131BD}"/>
                  </c:ext>
                </c:extLst>
              </c15:ser>
            </c15:filteredPieSeries>
            <c15:filteredPieSeries>
              <c15:ser>
                <c:idx val="6"/>
                <c:order val="6"/>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C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C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C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C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C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C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D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D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D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D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D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D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D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Seguimiento'!$J$70:$J$82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6-B9A4-43E5-B629-162F8E3131BD}"/>
                  </c:ext>
                </c:extLst>
              </c15:ser>
            </c15:filteredPieSeries>
            <c15:filteredPieSeries>
              <c15:ser>
                <c:idx val="7"/>
                <c:order val="7"/>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E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E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E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E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E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E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E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E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F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F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F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F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F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Seguimiento'!$K$70:$K$82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7-B9A4-43E5-B629-162F8E3131BD}"/>
                  </c:ext>
                </c:extLst>
              </c15:ser>
            </c15:filteredPieSeries>
            <c15:filteredPieSeries>
              <c15:ser>
                <c:idx val="8"/>
                <c:order val="8"/>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F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0F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0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0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0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0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0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0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0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0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1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1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1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Seguimiento'!$L$70:$L$82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8-B9A4-43E5-B629-162F8E3131BD}"/>
                  </c:ext>
                </c:extLst>
              </c15:ser>
            </c15:filteredPieSeries>
            <c15:filteredPieSeries>
              <c15:ser>
                <c:idx val="9"/>
                <c:order val="9"/>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1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1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1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1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2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2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2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2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2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2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2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2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3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Seguimiento'!$M$70:$M$82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9-B9A4-43E5-B629-162F8E3131BD}"/>
                  </c:ext>
                </c:extLst>
              </c15:ser>
            </c15:filteredPieSeries>
            <c15:filteredPieSeries>
              <c15:ser>
                <c:idx val="10"/>
                <c:order val="10"/>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3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3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3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3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3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3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4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4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4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4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4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4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4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Seguimiento'!$N$70:$N$82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A-B9A4-43E5-B629-162F8E3131BD}"/>
                  </c:ext>
                </c:extLst>
              </c15:ser>
            </c15:filteredPieSeries>
            <c15:filteredPieSeries>
              <c15:ser>
                <c:idx val="11"/>
                <c:order val="11"/>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5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5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5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5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5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5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5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5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6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6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6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6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6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Seguimiento'!$O$70:$O$82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B-B9A4-43E5-B629-162F8E3131BD}"/>
                  </c:ext>
                </c:extLst>
              </c15:ser>
            </c15:filteredPieSeries>
            <c15:filteredPieSeries>
              <c15:ser>
                <c:idx val="12"/>
                <c:order val="12"/>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6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6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7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7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7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7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7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7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7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7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8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8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8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Seguimiento'!$P$70:$P$82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C-B9A4-43E5-B629-162F8E3131BD}"/>
                  </c:ext>
                </c:extLst>
              </c15:ser>
            </c15:filteredPieSeries>
            <c15:filteredPieSeries>
              <c15:ser>
                <c:idx val="13"/>
                <c:order val="13"/>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8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8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8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8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9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9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9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9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9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9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9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9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A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Seguimiento'!$Q$70:$Q$82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D-B9A4-43E5-B629-162F8E3131BD}"/>
                  </c:ext>
                </c:extLst>
              </c15:ser>
            </c15:filteredPieSeries>
            <c15:filteredPieSeries>
              <c15:ser>
                <c:idx val="14"/>
                <c:order val="14"/>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A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A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A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A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A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A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B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B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B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B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B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B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B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Seguimiento'!$R$70:$R$82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E-B9A4-43E5-B629-162F8E3131BD}"/>
                  </c:ext>
                </c:extLst>
              </c15:ser>
            </c15:filteredPieSeries>
            <c15:filteredPieSeries>
              <c15:ser>
                <c:idx val="15"/>
                <c:order val="15"/>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C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C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C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C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C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C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C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C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D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D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D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D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D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Seguimiento'!$S$70:$S$82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0F-B9A4-43E5-B629-162F8E3131BD}"/>
                  </c:ext>
                </c:extLst>
              </c15:ser>
            </c15:filteredPieSeries>
            <c15:filteredPieSeries>
              <c15:ser>
                <c:idx val="17"/>
                <c:order val="17"/>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D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D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E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E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E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E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E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E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E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E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F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F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F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Seguimiento'!$U$70:$U$82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11-B9A4-43E5-B629-162F8E3131BD}"/>
                  </c:ext>
                </c:extLst>
              </c15:ser>
            </c15:filteredPieSeries>
            <c15:filteredPieSeries>
              <c15:ser>
                <c:idx val="18"/>
                <c:order val="18"/>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F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F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F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1F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0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0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0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0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0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0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0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0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1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Seguimiento'!$V$70:$V$82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12-B9A4-43E5-B629-162F8E3131BD}"/>
                  </c:ext>
                </c:extLst>
              </c15:ser>
            </c15:filteredPieSeries>
            <c15:filteredPieSeries>
              <c15:ser>
                <c:idx val="19"/>
                <c:order val="19"/>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1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1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1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1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1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1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2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2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2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2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2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2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xmlns:c15="http://schemas.microsoft.com/office/drawing/2012/chart">
                    <c:ext xmlns:c16="http://schemas.microsoft.com/office/drawing/2014/chart" uri="{C3380CC4-5D6E-409C-BE32-E72D297353CC}">
                      <c16:uniqueId val="{0000022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xmlns:c15="http://schemas.microsoft.com/office/drawing/2012/chart">
                    <c:ext xmlns:c15="http://schemas.microsoft.com/office/drawing/2012/chart" uri="{CE6537A1-D6FC-4f65-9D91-7224C49458BB}"/>
                  </c:extLst>
                </c:dLbls>
                <c:cat>
                  <c:strRef>
                    <c:extLst xmlns:c16r2="http://schemas.microsoft.com/office/drawing/2015/06/chart" xmlns:c15="http://schemas.microsoft.com/office/drawing/2012/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xmlns:c15="http://schemas.microsoft.com/office/drawing/2012/chart">
                      <c:ext xmlns:c15="http://schemas.microsoft.com/office/drawing/2012/chart" uri="{02D57815-91ED-43cb-92C2-25804820EDAC}">
                        <c15:formulaRef>
                          <c15:sqref>'Reporte Seguimiento'!$W$70:$W$82</c15:sqref>
                        </c15:formulaRef>
                      </c:ext>
                    </c:extLst>
                    <c:numCache>
                      <c:formatCode>General</c:formatCode>
                      <c:ptCount val="13"/>
                    </c:numCache>
                  </c:numRef>
                </c:val>
                <c:extLst xmlns:c16r2="http://schemas.microsoft.com/office/drawing/2015/06/chart" xmlns:c15="http://schemas.microsoft.com/office/drawing/2012/chart">
                  <c:ext xmlns:c16="http://schemas.microsoft.com/office/drawing/2014/chart" uri="{C3380CC4-5D6E-409C-BE32-E72D297353CC}">
                    <c16:uniqueId val="{00000013-B9A4-43E5-B629-162F8E3131BD}"/>
                  </c:ext>
                </c:extLst>
              </c15:ser>
            </c15:filteredPieSeries>
          </c:ext>
        </c:extLst>
      </c:doughnutChart>
      <c:spPr>
        <a:noFill/>
        <a:ln>
          <a:noFill/>
        </a:ln>
        <a:effectLst/>
      </c:spPr>
    </c:plotArea>
    <c:legend>
      <c:legendPos val="l"/>
      <c:layout>
        <c:manualLayout>
          <c:xMode val="edge"/>
          <c:yMode val="edge"/>
          <c:x val="1.4134275618374558E-2"/>
          <c:y val="1.466030677782354E-2"/>
          <c:w val="0.39837938102260184"/>
          <c:h val="0.98533969322217652"/>
        </c:manualLayout>
      </c:layout>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CO"/>
        </a:p>
      </c:txPr>
    </c:legend>
    <c:plotVisOnly val="1"/>
    <c:dispBlanksAs val="gap"/>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104775</xdr:colOff>
          <xdr:row>1</xdr:row>
          <xdr:rowOff>0</xdr:rowOff>
        </xdr:from>
        <xdr:to>
          <xdr:col>9</xdr:col>
          <xdr:colOff>142875</xdr:colOff>
          <xdr:row>3</xdr:row>
          <xdr:rowOff>85725</xdr:rowOff>
        </xdr:to>
        <xdr:sp macro="" textlink="">
          <xdr:nvSpPr>
            <xdr:cNvPr id="12292" name="Button 4" hidden="1">
              <a:extLst>
                <a:ext uri="{63B3BB69-23CF-44E3-9099-C40C66FF867C}">
                  <a14:compatExt spid="_x0000_s12292"/>
                </a:ext>
                <a:ext uri="{FF2B5EF4-FFF2-40B4-BE49-F238E27FC236}">
                  <a16:creationId xmlns:a16="http://schemas.microsoft.com/office/drawing/2014/main" xmlns=""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0</xdr:row>
          <xdr:rowOff>142875</xdr:rowOff>
        </xdr:from>
        <xdr:to>
          <xdr:col>16</xdr:col>
          <xdr:colOff>114300</xdr:colOff>
          <xdr:row>3</xdr:row>
          <xdr:rowOff>66675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xmlns=""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Eliminar PD</a:t>
              </a:r>
            </a:p>
          </xdr:txBody>
        </xdr:sp>
        <xdr:clientData fPrintsWithSheet="0"/>
      </xdr:twoCellAnchor>
    </mc:Choice>
    <mc:Fallback/>
  </mc:AlternateContent>
  <xdr:twoCellAnchor editAs="oneCell">
    <xdr:from>
      <xdr:col>18</xdr:col>
      <xdr:colOff>76200</xdr:colOff>
      <xdr:row>0</xdr:row>
      <xdr:rowOff>114300</xdr:rowOff>
    </xdr:from>
    <xdr:to>
      <xdr:col>31</xdr:col>
      <xdr:colOff>156620</xdr:colOff>
      <xdr:row>5</xdr:row>
      <xdr:rowOff>5444</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00" y="114300"/>
          <a:ext cx="2118770" cy="8436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54</xdr:col>
      <xdr:colOff>76200</xdr:colOff>
      <xdr:row>0</xdr:row>
      <xdr:rowOff>123825</xdr:rowOff>
    </xdr:from>
    <xdr:to>
      <xdr:col>59</xdr:col>
      <xdr:colOff>202352</xdr:colOff>
      <xdr:row>2</xdr:row>
      <xdr:rowOff>47625</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48925" y="123825"/>
          <a:ext cx="1554902" cy="619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57</xdr:col>
          <xdr:colOff>161925</xdr:colOff>
          <xdr:row>1</xdr:row>
          <xdr:rowOff>152400</xdr:rowOff>
        </xdr:from>
        <xdr:to>
          <xdr:col>71</xdr:col>
          <xdr:colOff>152400</xdr:colOff>
          <xdr:row>5</xdr:row>
          <xdr:rowOff>171450</xdr:rowOff>
        </xdr:to>
        <xdr:sp macro="" textlink="">
          <xdr:nvSpPr>
            <xdr:cNvPr id="10263" name="btnPDFResumen" hidden="1">
              <a:extLst>
                <a:ext uri="{63B3BB69-23CF-44E3-9099-C40C66FF867C}">
                  <a14:compatExt spid="_x0000_s10263"/>
                </a:ext>
                <a:ext uri="{FF2B5EF4-FFF2-40B4-BE49-F238E27FC236}">
                  <a16:creationId xmlns:a16="http://schemas.microsoft.com/office/drawing/2014/main" xmlns="" id="{00000000-0008-0000-0500-00001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36</xdr:col>
      <xdr:colOff>238125</xdr:colOff>
      <xdr:row>1</xdr:row>
      <xdr:rowOff>47625</xdr:rowOff>
    </xdr:from>
    <xdr:to>
      <xdr:col>53</xdr:col>
      <xdr:colOff>13745</xdr:colOff>
      <xdr:row>6</xdr:row>
      <xdr:rowOff>62594</xdr:rowOff>
    </xdr:to>
    <xdr:pic>
      <xdr:nvPicPr>
        <xdr:cNvPr id="5"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15200" y="209550"/>
          <a:ext cx="2118770" cy="8436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19</xdr:row>
          <xdr:rowOff>9525</xdr:rowOff>
        </xdr:from>
        <xdr:to>
          <xdr:col>8</xdr:col>
          <xdr:colOff>76200</xdr:colOff>
          <xdr:row>21</xdr:row>
          <xdr:rowOff>9525</xdr:rowOff>
        </xdr:to>
        <xdr:sp macro="" textlink="">
          <xdr:nvSpPr>
            <xdr:cNvPr id="1039" name="Button 15" hidden="1">
              <a:extLst>
                <a:ext uri="{63B3BB69-23CF-44E3-9099-C40C66FF867C}">
                  <a14:compatExt spid="_x0000_s1039"/>
                </a:ext>
                <a:ext uri="{FF2B5EF4-FFF2-40B4-BE49-F238E27FC236}">
                  <a16:creationId xmlns:a16="http://schemas.microsoft.com/office/drawing/2014/main" xmlns=""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HU</a:t>
              </a:r>
            </a:p>
          </xdr:txBody>
        </xdr:sp>
        <xdr:clientData fPrintsWithSheet="0"/>
      </xdr:twoCellAnchor>
    </mc:Choice>
    <mc:Fallback/>
  </mc:AlternateContent>
  <xdr:twoCellAnchor editAs="oneCell">
    <xdr:from>
      <xdr:col>53</xdr:col>
      <xdr:colOff>111894</xdr:colOff>
      <xdr:row>2</xdr:row>
      <xdr:rowOff>145142</xdr:rowOff>
    </xdr:from>
    <xdr:to>
      <xdr:col>65</xdr:col>
      <xdr:colOff>53521</xdr:colOff>
      <xdr:row>6</xdr:row>
      <xdr:rowOff>127000</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27608" y="471713"/>
          <a:ext cx="2118770" cy="84364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171450</xdr:colOff>
          <xdr:row>2</xdr:row>
          <xdr:rowOff>0</xdr:rowOff>
        </xdr:from>
        <xdr:to>
          <xdr:col>26</xdr:col>
          <xdr:colOff>142875</xdr:colOff>
          <xdr:row>4</xdr:row>
          <xdr:rowOff>47625</xdr:rowOff>
        </xdr:to>
        <xdr:sp macro="" textlink="">
          <xdr:nvSpPr>
            <xdr:cNvPr id="3073" name="Button 1" descr="Ejecutar" hidden="1">
              <a:extLst>
                <a:ext uri="{63B3BB69-23CF-44E3-9099-C40C66FF867C}">
                  <a14:compatExt spid="_x0000_s3073"/>
                </a:ext>
                <a:ext uri="{FF2B5EF4-FFF2-40B4-BE49-F238E27FC236}">
                  <a16:creationId xmlns:a16="http://schemas.microsoft.com/office/drawing/2014/main" xmlns=""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CP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142875</xdr:colOff>
          <xdr:row>2</xdr:row>
          <xdr:rowOff>0</xdr:rowOff>
        </xdr:from>
        <xdr:to>
          <xdr:col>34</xdr:col>
          <xdr:colOff>180975</xdr:colOff>
          <xdr:row>4</xdr:row>
          <xdr:rowOff>47625</xdr:rowOff>
        </xdr:to>
        <xdr:sp macro="" textlink="">
          <xdr:nvSpPr>
            <xdr:cNvPr id="3074" name="Button 2" hidden="1">
              <a:extLst>
                <a:ext uri="{63B3BB69-23CF-44E3-9099-C40C66FF867C}">
                  <a14:compatExt spid="_x0000_s3074"/>
                </a:ext>
                <a:ext uri="{FF2B5EF4-FFF2-40B4-BE49-F238E27FC236}">
                  <a16:creationId xmlns:a16="http://schemas.microsoft.com/office/drawing/2014/main" xmlns=""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Eliminar CP</a:t>
              </a:r>
            </a:p>
          </xdr:txBody>
        </xdr:sp>
        <xdr:clientData fPrintsWithSheet="0"/>
      </xdr:twoCellAnchor>
    </mc:Choice>
    <mc:Fallback/>
  </mc:AlternateContent>
  <xdr:twoCellAnchor editAs="oneCell">
    <xdr:from>
      <xdr:col>36</xdr:col>
      <xdr:colOff>40967</xdr:colOff>
      <xdr:row>0</xdr:row>
      <xdr:rowOff>81936</xdr:rowOff>
    </xdr:from>
    <xdr:to>
      <xdr:col>47</xdr:col>
      <xdr:colOff>131834</xdr:colOff>
      <xdr:row>5</xdr:row>
      <xdr:rowOff>75499</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85967" y="81936"/>
          <a:ext cx="2118770" cy="84364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48</xdr:col>
      <xdr:colOff>127567</xdr:colOff>
      <xdr:row>0</xdr:row>
      <xdr:rowOff>8505</xdr:rowOff>
    </xdr:from>
    <xdr:to>
      <xdr:col>57</xdr:col>
      <xdr:colOff>85044</xdr:colOff>
      <xdr:row>2</xdr:row>
      <xdr:rowOff>53276</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00067" y="8505"/>
          <a:ext cx="1564821" cy="623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65</xdr:col>
      <xdr:colOff>138546</xdr:colOff>
      <xdr:row>0</xdr:row>
      <xdr:rowOff>207819</xdr:rowOff>
    </xdr:from>
    <xdr:to>
      <xdr:col>75</xdr:col>
      <xdr:colOff>51955</xdr:colOff>
      <xdr:row>2</xdr:row>
      <xdr:rowOff>49113</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21637" y="207819"/>
          <a:ext cx="1558636" cy="6206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24</xdr:row>
          <xdr:rowOff>9525</xdr:rowOff>
        </xdr:from>
        <xdr:to>
          <xdr:col>9</xdr:col>
          <xdr:colOff>47625</xdr:colOff>
          <xdr:row>26</xdr:row>
          <xdr:rowOff>9525</xdr:rowOff>
        </xdr:to>
        <xdr:sp macro="" textlink="">
          <xdr:nvSpPr>
            <xdr:cNvPr id="25605" name="Button 5" hidden="1">
              <a:extLst>
                <a:ext uri="{63B3BB69-23CF-44E3-9099-C40C66FF867C}">
                  <a14:compatExt spid="_x0000_s25605"/>
                </a:ext>
                <a:ext uri="{FF2B5EF4-FFF2-40B4-BE49-F238E27FC236}">
                  <a16:creationId xmlns:a16="http://schemas.microsoft.com/office/drawing/2014/main" xmlns="" id="{00000000-0008-0000-0900-000005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Fecha</a:t>
              </a:r>
            </a:p>
          </xdr:txBody>
        </xdr:sp>
        <xdr:clientData fPrintsWithSheet="0"/>
      </xdr:twoCellAnchor>
    </mc:Choice>
    <mc:Fallback/>
  </mc:AlternateContent>
  <xdr:twoCellAnchor editAs="oneCell">
    <xdr:from>
      <xdr:col>58</xdr:col>
      <xdr:colOff>9923</xdr:colOff>
      <xdr:row>0</xdr:row>
      <xdr:rowOff>0</xdr:rowOff>
    </xdr:from>
    <xdr:to>
      <xdr:col>69</xdr:col>
      <xdr:colOff>55021</xdr:colOff>
      <xdr:row>2</xdr:row>
      <xdr:rowOff>79660</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66798" y="0"/>
          <a:ext cx="2118770" cy="84364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171450</xdr:colOff>
          <xdr:row>1</xdr:row>
          <xdr:rowOff>0</xdr:rowOff>
        </xdr:from>
        <xdr:to>
          <xdr:col>8</xdr:col>
          <xdr:colOff>171450</xdr:colOff>
          <xdr:row>3</xdr:row>
          <xdr:rowOff>76200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xmlns="" id="{00000000-0008-0000-0A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Desfase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161925</xdr:colOff>
          <xdr:row>0</xdr:row>
          <xdr:rowOff>142875</xdr:rowOff>
        </xdr:from>
        <xdr:to>
          <xdr:col>15</xdr:col>
          <xdr:colOff>161925</xdr:colOff>
          <xdr:row>3</xdr:row>
          <xdr:rowOff>57150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xmlns="" id="{00000000-0008-0000-0A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Eliminar Desfase</a:t>
              </a:r>
            </a:p>
          </xdr:txBody>
        </xdr:sp>
        <xdr:clientData fPrintsWithSheet="0"/>
      </xdr:twoCellAnchor>
    </mc:Choice>
    <mc:Fallback/>
  </mc:AlternateContent>
  <xdr:twoCellAnchor editAs="oneCell">
    <xdr:from>
      <xdr:col>44</xdr:col>
      <xdr:colOff>2476500</xdr:colOff>
      <xdr:row>0</xdr:row>
      <xdr:rowOff>9525</xdr:rowOff>
    </xdr:from>
    <xdr:to>
      <xdr:col>53</xdr:col>
      <xdr:colOff>89945</xdr:colOff>
      <xdr:row>5</xdr:row>
      <xdr:rowOff>43544</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77475" y="9525"/>
          <a:ext cx="2118770" cy="8436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53</xdr:col>
          <xdr:colOff>171450</xdr:colOff>
          <xdr:row>1</xdr:row>
          <xdr:rowOff>76200</xdr:rowOff>
        </xdr:from>
        <xdr:to>
          <xdr:col>63</xdr:col>
          <xdr:colOff>142875</xdr:colOff>
          <xdr:row>4</xdr:row>
          <xdr:rowOff>104775</xdr:rowOff>
        </xdr:to>
        <xdr:sp macro="" textlink="">
          <xdr:nvSpPr>
            <xdr:cNvPr id="7172" name="btnReportDiario" hidden="1">
              <a:extLst>
                <a:ext uri="{63B3BB69-23CF-44E3-9099-C40C66FF867C}">
                  <a14:compatExt spid="_x0000_s7172"/>
                </a:ext>
                <a:ext uri="{FF2B5EF4-FFF2-40B4-BE49-F238E27FC236}">
                  <a16:creationId xmlns:a16="http://schemas.microsoft.com/office/drawing/2014/main" xmlns="" id="{00000000-0008-0000-0B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38</xdr:col>
      <xdr:colOff>28574</xdr:colOff>
      <xdr:row>49</xdr:row>
      <xdr:rowOff>19050</xdr:rowOff>
    </xdr:from>
    <xdr:to>
      <xdr:col>52</xdr:col>
      <xdr:colOff>133350</xdr:colOff>
      <xdr:row>54</xdr:row>
      <xdr:rowOff>142875</xdr:rowOff>
    </xdr:to>
    <xdr:graphicFrame macro="">
      <xdr:nvGraphicFramePr>
        <xdr:cNvPr id="6" name="Gráfico 5">
          <a:extLst>
            <a:ext uri="{FF2B5EF4-FFF2-40B4-BE49-F238E27FC236}">
              <a16:creationId xmlns:a16="http://schemas.microsoft.com/office/drawing/2014/main" xmlns=""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19051</xdr:colOff>
      <xdr:row>57</xdr:row>
      <xdr:rowOff>9525</xdr:rowOff>
    </xdr:from>
    <xdr:to>
      <xdr:col>27</xdr:col>
      <xdr:colOff>142876</xdr:colOff>
      <xdr:row>62</xdr:row>
      <xdr:rowOff>142875</xdr:rowOff>
    </xdr:to>
    <xdr:graphicFrame macro="">
      <xdr:nvGraphicFramePr>
        <xdr:cNvPr id="7" name="Gráfico 6">
          <a:extLst>
            <a:ext uri="{FF2B5EF4-FFF2-40B4-BE49-F238E27FC236}">
              <a16:creationId xmlns:a16="http://schemas.microsoft.com/office/drawing/2014/main" xmlns=""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38</xdr:col>
      <xdr:colOff>28575</xdr:colOff>
      <xdr:row>57</xdr:row>
      <xdr:rowOff>9525</xdr:rowOff>
    </xdr:from>
    <xdr:to>
      <xdr:col>52</xdr:col>
      <xdr:colOff>142875</xdr:colOff>
      <xdr:row>62</xdr:row>
      <xdr:rowOff>123825</xdr:rowOff>
    </xdr:to>
    <xdr:graphicFrame macro="">
      <xdr:nvGraphicFramePr>
        <xdr:cNvPr id="8" name="Gráfico 7">
          <a:extLst>
            <a:ext uri="{FF2B5EF4-FFF2-40B4-BE49-F238E27FC236}">
              <a16:creationId xmlns:a16="http://schemas.microsoft.com/office/drawing/2014/main" xmlns=""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28574</xdr:colOff>
      <xdr:row>69</xdr:row>
      <xdr:rowOff>19049</xdr:rowOff>
    </xdr:from>
    <xdr:to>
      <xdr:col>52</xdr:col>
      <xdr:colOff>142874</xdr:colOff>
      <xdr:row>82</xdr:row>
      <xdr:rowOff>0</xdr:rowOff>
    </xdr:to>
    <xdr:graphicFrame macro="">
      <xdr:nvGraphicFramePr>
        <xdr:cNvPr id="9" name="Gráfico 8">
          <a:extLst>
            <a:ext uri="{FF2B5EF4-FFF2-40B4-BE49-F238E27FC236}">
              <a16:creationId xmlns:a16="http://schemas.microsoft.com/office/drawing/2014/main" xmlns=""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39</xdr:col>
      <xdr:colOff>161925</xdr:colOff>
      <xdr:row>1</xdr:row>
      <xdr:rowOff>47625</xdr:rowOff>
    </xdr:from>
    <xdr:to>
      <xdr:col>53</xdr:col>
      <xdr:colOff>13745</xdr:colOff>
      <xdr:row>6</xdr:row>
      <xdr:rowOff>62594</xdr:rowOff>
    </xdr:to>
    <xdr:pic>
      <xdr:nvPicPr>
        <xdr:cNvPr id="10" name="Imagen 9"/>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77075" y="247650"/>
          <a:ext cx="2118770" cy="84364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54</xdr:col>
          <xdr:colOff>19050</xdr:colOff>
          <xdr:row>1</xdr:row>
          <xdr:rowOff>114300</xdr:rowOff>
        </xdr:from>
        <xdr:to>
          <xdr:col>62</xdr:col>
          <xdr:colOff>85725</xdr:colOff>
          <xdr:row>5</xdr:row>
          <xdr:rowOff>19050</xdr:rowOff>
        </xdr:to>
        <xdr:sp macro="" textlink="">
          <xdr:nvSpPr>
            <xdr:cNvPr id="15363" name="btnGenerarCertificado" hidden="1">
              <a:extLst>
                <a:ext uri="{63B3BB69-23CF-44E3-9099-C40C66FF867C}">
                  <a14:compatExt spid="_x0000_s15363"/>
                </a:ext>
                <a:ext uri="{FF2B5EF4-FFF2-40B4-BE49-F238E27FC236}">
                  <a16:creationId xmlns:a16="http://schemas.microsoft.com/office/drawing/2014/main" xmlns=""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41</xdr:col>
      <xdr:colOff>104775</xdr:colOff>
      <xdr:row>1</xdr:row>
      <xdr:rowOff>57150</xdr:rowOff>
    </xdr:from>
    <xdr:to>
      <xdr:col>53</xdr:col>
      <xdr:colOff>51845</xdr:colOff>
      <xdr:row>6</xdr:row>
      <xdr:rowOff>72119</xdr:rowOff>
    </xdr:to>
    <xdr:pic>
      <xdr:nvPicPr>
        <xdr:cNvPr id="5"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72350" y="219075"/>
          <a:ext cx="2118770" cy="84364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image" Target="../media/image3.emf"/><Relationship Id="rId4" Type="http://schemas.openxmlformats.org/officeDocument/2006/relationships/control" Target="../activeX/activeX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4.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9" tint="0.79998168889431442"/>
  </sheetPr>
  <dimension ref="A1:CG39"/>
  <sheetViews>
    <sheetView showGridLines="0" zoomScaleNormal="100" workbookViewId="0">
      <pane ySplit="7" topLeftCell="A11" activePane="bottomLeft" state="frozen"/>
      <selection activeCell="R20" sqref="R20:BA20"/>
      <selection pane="bottomLeft" activeCell="C15" sqref="C15:E15"/>
    </sheetView>
  </sheetViews>
  <sheetFormatPr baseColWidth="10" defaultColWidth="2.7109375" defaultRowHeight="15" x14ac:dyDescent="0.25"/>
  <cols>
    <col min="1" max="2" width="1.42578125" customWidth="1"/>
    <col min="3" max="5" width="2.28515625" style="69" customWidth="1"/>
    <col min="6" max="16" width="2.5703125" style="69" customWidth="1"/>
    <col min="17" max="25" width="1.85546875" style="69" customWidth="1"/>
    <col min="26" max="26" width="1.5703125" style="69" customWidth="1"/>
    <col min="27" max="27" width="1.85546875" style="69" customWidth="1"/>
    <col min="28" max="28" width="5.42578125" style="69" hidden="1" customWidth="1"/>
    <col min="29" max="38" width="4.7109375" style="69" customWidth="1"/>
    <col min="39" max="42" width="2.28515625" style="69" customWidth="1"/>
    <col min="43" max="43" width="5.7109375" style="69" hidden="1" customWidth="1"/>
    <col min="44" max="47" width="2.140625" style="69" customWidth="1"/>
    <col min="48" max="50" width="2.7109375" style="69"/>
    <col min="51" max="65" width="3.7109375" style="69" customWidth="1"/>
  </cols>
  <sheetData>
    <row r="1" spans="1:85" x14ac:dyDescent="0.25">
      <c r="AZ1" s="68"/>
      <c r="BA1" s="68"/>
      <c r="BB1" s="68"/>
      <c r="BC1" s="68"/>
      <c r="BD1" s="68"/>
      <c r="BE1" s="68"/>
      <c r="BF1" s="68"/>
      <c r="BG1" s="68"/>
      <c r="BH1" s="68"/>
      <c r="BI1" s="68"/>
      <c r="BJ1" s="68"/>
      <c r="BK1" s="68"/>
      <c r="BL1" s="68"/>
      <c r="BM1" s="68"/>
    </row>
    <row r="3" spans="1:85" x14ac:dyDescent="0.25">
      <c r="BN3" s="57"/>
      <c r="BO3" s="57"/>
      <c r="BP3" s="57"/>
      <c r="BQ3" s="57"/>
      <c r="BR3" s="57"/>
      <c r="BS3" s="57"/>
      <c r="BT3" s="57"/>
      <c r="BU3" s="57"/>
      <c r="BV3" s="57"/>
      <c r="BW3" s="57"/>
      <c r="BX3" s="57"/>
      <c r="BY3" s="57"/>
      <c r="BZ3" s="57"/>
      <c r="CA3" s="57"/>
      <c r="CB3" s="57"/>
      <c r="CC3" s="57"/>
      <c r="CD3" s="57"/>
      <c r="CE3" s="57"/>
      <c r="CF3" s="57"/>
      <c r="CG3" s="57"/>
    </row>
    <row r="4" spans="1:85" x14ac:dyDescent="0.25">
      <c r="BN4" s="57"/>
      <c r="BO4" s="57"/>
      <c r="BP4" s="57"/>
      <c r="BQ4" s="57"/>
      <c r="BR4" s="57"/>
      <c r="BS4" s="57"/>
      <c r="BT4" s="57"/>
      <c r="BU4" s="57"/>
      <c r="BV4" s="57"/>
      <c r="BW4" s="57"/>
      <c r="BX4" s="57"/>
      <c r="BY4" s="57"/>
      <c r="BZ4" s="57"/>
      <c r="CA4" s="57"/>
      <c r="CB4" s="57"/>
      <c r="CC4" s="57"/>
      <c r="CD4" s="57"/>
      <c r="CE4" s="57"/>
      <c r="CF4" s="57"/>
      <c r="CG4" s="57"/>
    </row>
    <row r="5" spans="1:85" x14ac:dyDescent="0.25">
      <c r="C5" s="125" t="s">
        <v>49</v>
      </c>
      <c r="D5" s="126"/>
      <c r="E5" s="126"/>
      <c r="F5" s="126"/>
      <c r="G5" s="126"/>
      <c r="H5" s="126"/>
      <c r="I5" s="126"/>
      <c r="J5" s="126"/>
      <c r="K5" s="126"/>
      <c r="L5" s="126"/>
      <c r="M5" s="126"/>
      <c r="N5" s="126"/>
      <c r="O5" s="126"/>
      <c r="P5" s="127"/>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1"/>
      <c r="BJ5" s="71"/>
      <c r="BK5" s="71"/>
      <c r="BL5" s="71"/>
      <c r="BM5" s="71"/>
      <c r="BN5" s="57"/>
      <c r="BO5" s="57"/>
      <c r="BP5" s="57"/>
      <c r="BQ5" s="57"/>
      <c r="BR5" s="57"/>
      <c r="BS5" s="57"/>
      <c r="BT5" s="57"/>
      <c r="BU5" s="57"/>
      <c r="BV5" s="57"/>
      <c r="BW5" s="57"/>
      <c r="BX5" s="57"/>
      <c r="BY5" s="57"/>
      <c r="BZ5" s="57"/>
      <c r="CA5" s="57"/>
      <c r="CB5" s="57"/>
      <c r="CC5" s="57"/>
      <c r="CD5" s="57"/>
      <c r="CE5" s="57"/>
      <c r="CF5" s="57"/>
      <c r="CG5" s="57"/>
    </row>
    <row r="6" spans="1:85" x14ac:dyDescent="0.25">
      <c r="C6" s="128"/>
      <c r="D6" s="128"/>
      <c r="E6" s="128"/>
      <c r="F6" s="128"/>
      <c r="G6" s="128"/>
      <c r="H6" s="128"/>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28"/>
      <c r="AK6" s="128"/>
      <c r="AL6" s="128"/>
      <c r="AM6" s="128"/>
      <c r="AN6" s="128"/>
      <c r="AO6" s="128"/>
      <c r="AP6" s="128"/>
      <c r="AQ6" s="128"/>
      <c r="AR6" s="128"/>
      <c r="AS6" s="128"/>
      <c r="AT6" s="128"/>
      <c r="AU6" s="128"/>
      <c r="AV6" s="128"/>
      <c r="AW6" s="128"/>
      <c r="AX6" s="128"/>
      <c r="AY6" s="128"/>
      <c r="AZ6" s="128"/>
      <c r="BA6" s="128"/>
      <c r="BB6" s="128"/>
      <c r="BC6" s="128"/>
      <c r="BD6" s="128"/>
      <c r="BE6" s="128"/>
      <c r="BF6" s="128"/>
      <c r="BG6" s="128"/>
      <c r="BH6" s="128"/>
      <c r="BI6" s="128"/>
      <c r="BJ6" s="128"/>
      <c r="BK6" s="128"/>
      <c r="BL6" s="128"/>
      <c r="BM6" s="128"/>
      <c r="BN6" s="57"/>
      <c r="BO6" s="57"/>
      <c r="BP6" s="57"/>
      <c r="BQ6" s="57"/>
      <c r="BR6" s="57"/>
      <c r="BS6" s="57"/>
      <c r="BT6" s="57"/>
      <c r="BU6" s="57"/>
      <c r="BV6" s="57"/>
      <c r="BW6" s="57"/>
      <c r="BX6" s="57"/>
      <c r="BY6" s="57"/>
      <c r="BZ6" s="57"/>
      <c r="CA6" s="57"/>
      <c r="CB6" s="57"/>
      <c r="CC6" s="57"/>
      <c r="CD6" s="57"/>
      <c r="CE6" s="57"/>
      <c r="CF6" s="57"/>
      <c r="CG6" s="57"/>
    </row>
    <row r="7" spans="1:85" s="63" customFormat="1" ht="27.75" customHeight="1" x14ac:dyDescent="0.25">
      <c r="A7" s="62" t="s">
        <v>162</v>
      </c>
      <c r="C7" s="129" t="s">
        <v>31</v>
      </c>
      <c r="D7" s="130"/>
      <c r="E7" s="130"/>
      <c r="F7" s="131" t="s">
        <v>155</v>
      </c>
      <c r="G7" s="131"/>
      <c r="H7" s="131"/>
      <c r="I7" s="131"/>
      <c r="J7" s="131"/>
      <c r="K7" s="131"/>
      <c r="L7" s="131"/>
      <c r="M7" s="131"/>
      <c r="N7" s="131"/>
      <c r="O7" s="131"/>
      <c r="P7" s="131"/>
      <c r="Q7" s="132" t="s">
        <v>154</v>
      </c>
      <c r="R7" s="133"/>
      <c r="S7" s="133"/>
      <c r="T7" s="133"/>
      <c r="U7" s="133"/>
      <c r="V7" s="133"/>
      <c r="W7" s="133"/>
      <c r="X7" s="133"/>
      <c r="Y7" s="133"/>
      <c r="Z7" s="133"/>
      <c r="AA7" s="134"/>
      <c r="AB7" s="84" t="s">
        <v>173</v>
      </c>
      <c r="AC7" s="132" t="s">
        <v>156</v>
      </c>
      <c r="AD7" s="133"/>
      <c r="AE7" s="133"/>
      <c r="AF7" s="133"/>
      <c r="AG7" s="133"/>
      <c r="AH7" s="133"/>
      <c r="AI7" s="133"/>
      <c r="AJ7" s="133"/>
      <c r="AK7" s="133"/>
      <c r="AL7" s="134"/>
      <c r="AM7" s="135" t="s">
        <v>69</v>
      </c>
      <c r="AN7" s="135"/>
      <c r="AO7" s="135"/>
      <c r="AP7" s="135"/>
      <c r="AQ7" s="85" t="s">
        <v>174</v>
      </c>
      <c r="AR7" s="135" t="s">
        <v>182</v>
      </c>
      <c r="AS7" s="135"/>
      <c r="AT7" s="135"/>
      <c r="AU7" s="135"/>
      <c r="AV7" s="136" t="s">
        <v>204</v>
      </c>
      <c r="AW7" s="136"/>
      <c r="AX7" s="136"/>
      <c r="AY7" s="136"/>
      <c r="AZ7" s="136" t="s">
        <v>71</v>
      </c>
      <c r="BA7" s="136"/>
      <c r="BB7" s="136"/>
      <c r="BC7" s="136"/>
      <c r="BD7" s="136"/>
      <c r="BE7" s="136"/>
      <c r="BF7" s="136"/>
      <c r="BG7" s="136"/>
      <c r="BH7" s="136"/>
      <c r="BI7" s="136"/>
      <c r="BJ7" s="136"/>
      <c r="BK7" s="136"/>
      <c r="BL7" s="136"/>
      <c r="BM7" s="136"/>
      <c r="BN7" s="64"/>
      <c r="BO7" s="64"/>
      <c r="BP7" s="64"/>
      <c r="BQ7" s="64"/>
      <c r="BR7" s="64"/>
      <c r="BS7" s="64"/>
      <c r="BT7" s="64"/>
      <c r="BU7" s="64"/>
      <c r="BV7" s="64"/>
      <c r="BW7" s="64"/>
      <c r="BX7" s="64"/>
      <c r="BY7" s="64"/>
      <c r="BZ7" s="64"/>
      <c r="CA7" s="64"/>
      <c r="CB7" s="64"/>
      <c r="CC7" s="64"/>
      <c r="CD7" s="64"/>
      <c r="CE7" s="64"/>
      <c r="CF7" s="64"/>
      <c r="CG7" s="64"/>
    </row>
    <row r="8" spans="1:85" ht="83.25" customHeight="1" x14ac:dyDescent="0.25">
      <c r="A8" s="56" t="s">
        <v>281</v>
      </c>
      <c r="C8" s="119" t="s">
        <v>291</v>
      </c>
      <c r="D8" s="120"/>
      <c r="E8" s="120"/>
      <c r="F8" s="121" t="str">
        <f>IF(C8&lt;&gt;"",VLOOKUP(C8,'Info General'!$C$24:$F$6991,4,),"")</f>
        <v>Acceso a la plataforma Travelocity</v>
      </c>
      <c r="G8" s="121"/>
      <c r="H8" s="121"/>
      <c r="I8" s="121"/>
      <c r="J8" s="121"/>
      <c r="K8" s="121"/>
      <c r="L8" s="121"/>
      <c r="M8" s="121"/>
      <c r="N8" s="121"/>
      <c r="O8" s="121"/>
      <c r="P8" s="121"/>
      <c r="Q8" s="122" t="s">
        <v>151</v>
      </c>
      <c r="R8" s="123"/>
      <c r="S8" s="123"/>
      <c r="T8" s="123"/>
      <c r="U8" s="123"/>
      <c r="V8" s="123"/>
      <c r="W8" s="123"/>
      <c r="X8" s="123"/>
      <c r="Y8" s="123"/>
      <c r="Z8" s="123"/>
      <c r="AA8" s="124"/>
      <c r="AB8" s="91">
        <f t="shared" ref="AB8:AB15" si="0">VLOOKUP(Q8,$A$19:$B$32,2,0)</f>
        <v>7.2</v>
      </c>
      <c r="AC8" s="122" t="s">
        <v>296</v>
      </c>
      <c r="AD8" s="123"/>
      <c r="AE8" s="123"/>
      <c r="AF8" s="123"/>
      <c r="AG8" s="123"/>
      <c r="AH8" s="123"/>
      <c r="AI8" s="123"/>
      <c r="AJ8" s="123"/>
      <c r="AK8" s="123"/>
      <c r="AL8" s="124"/>
      <c r="AM8" s="116" t="s">
        <v>172</v>
      </c>
      <c r="AN8" s="116"/>
      <c r="AO8" s="116"/>
      <c r="AP8" s="116"/>
      <c r="AQ8" s="113" t="str">
        <f t="shared" ref="AQ8:AQ15" si="1">LEFT(AM8,1)</f>
        <v>4</v>
      </c>
      <c r="AR8" s="116">
        <v>2</v>
      </c>
      <c r="AS8" s="116"/>
      <c r="AT8" s="116"/>
      <c r="AU8" s="116"/>
      <c r="AV8" s="117">
        <f t="shared" ref="AV8" si="2">IF(AR8&lt;&gt;0,(AQ8*AR8+AB8)/100,0)</f>
        <v>0.152</v>
      </c>
      <c r="AW8" s="117"/>
      <c r="AX8" s="117"/>
      <c r="AY8" s="117"/>
      <c r="AZ8" s="118" t="s">
        <v>298</v>
      </c>
      <c r="BA8" s="118"/>
      <c r="BB8" s="118"/>
      <c r="BC8" s="118"/>
      <c r="BD8" s="118"/>
      <c r="BE8" s="118"/>
      <c r="BF8" s="118"/>
      <c r="BG8" s="118"/>
      <c r="BH8" s="118"/>
      <c r="BI8" s="118"/>
      <c r="BJ8" s="118"/>
      <c r="BK8" s="118"/>
      <c r="BL8" s="118"/>
      <c r="BM8" s="118"/>
      <c r="BN8" s="57"/>
      <c r="BO8" s="57"/>
      <c r="BP8" s="57"/>
      <c r="BQ8" s="57"/>
      <c r="BR8" s="57"/>
      <c r="BS8" s="57"/>
      <c r="BT8" s="57"/>
      <c r="BU8" s="57"/>
      <c r="BV8" s="57"/>
      <c r="BW8" s="57"/>
      <c r="BX8" s="57"/>
      <c r="BY8" s="57"/>
      <c r="BZ8" s="57"/>
      <c r="CA8" s="57"/>
      <c r="CB8" s="57"/>
      <c r="CC8" s="57"/>
      <c r="CD8" s="57"/>
      <c r="CE8" s="57"/>
      <c r="CF8" s="57"/>
      <c r="CG8" s="57"/>
    </row>
    <row r="9" spans="1:85" ht="75" customHeight="1" x14ac:dyDescent="0.25">
      <c r="A9" s="56"/>
      <c r="C9" s="119" t="s">
        <v>291</v>
      </c>
      <c r="D9" s="120"/>
      <c r="E9" s="120"/>
      <c r="F9" s="121" t="str">
        <f>IF(C9&lt;&gt;"",VLOOKUP(C9,'Info General'!$C$24:$F$6991,4,),"")</f>
        <v>Acceso a la plataforma Travelocity</v>
      </c>
      <c r="G9" s="121"/>
      <c r="H9" s="121"/>
      <c r="I9" s="121"/>
      <c r="J9" s="121"/>
      <c r="K9" s="121"/>
      <c r="L9" s="121"/>
      <c r="M9" s="121"/>
      <c r="N9" s="121"/>
      <c r="O9" s="121"/>
      <c r="P9" s="121"/>
      <c r="Q9" s="122" t="s">
        <v>149</v>
      </c>
      <c r="R9" s="123"/>
      <c r="S9" s="123"/>
      <c r="T9" s="123"/>
      <c r="U9" s="123"/>
      <c r="V9" s="123"/>
      <c r="W9" s="123"/>
      <c r="X9" s="123"/>
      <c r="Y9" s="123"/>
      <c r="Z9" s="123"/>
      <c r="AA9" s="124"/>
      <c r="AB9" s="114">
        <f t="shared" si="0"/>
        <v>7.2</v>
      </c>
      <c r="AC9" s="122" t="s">
        <v>297</v>
      </c>
      <c r="AD9" s="123"/>
      <c r="AE9" s="123"/>
      <c r="AF9" s="123"/>
      <c r="AG9" s="123"/>
      <c r="AH9" s="123"/>
      <c r="AI9" s="123"/>
      <c r="AJ9" s="123"/>
      <c r="AK9" s="123"/>
      <c r="AL9" s="124"/>
      <c r="AM9" s="116" t="s">
        <v>171</v>
      </c>
      <c r="AN9" s="116"/>
      <c r="AO9" s="116"/>
      <c r="AP9" s="116"/>
      <c r="AQ9" s="115" t="str">
        <f t="shared" si="1"/>
        <v>3</v>
      </c>
      <c r="AR9" s="116">
        <v>5</v>
      </c>
      <c r="AS9" s="116"/>
      <c r="AT9" s="116"/>
      <c r="AU9" s="116"/>
      <c r="AV9" s="117">
        <f t="shared" ref="AV9" si="3">IF(AR9&lt;&gt;0,(AQ9*AR9+AB9)/100,0)</f>
        <v>0.222</v>
      </c>
      <c r="AW9" s="117"/>
      <c r="AX9" s="117"/>
      <c r="AY9" s="117"/>
      <c r="AZ9" s="118" t="s">
        <v>299</v>
      </c>
      <c r="BA9" s="118"/>
      <c r="BB9" s="118"/>
      <c r="BC9" s="118"/>
      <c r="BD9" s="118"/>
      <c r="BE9" s="118"/>
      <c r="BF9" s="118"/>
      <c r="BG9" s="118"/>
      <c r="BH9" s="118"/>
      <c r="BI9" s="118"/>
      <c r="BJ9" s="118"/>
      <c r="BK9" s="118"/>
      <c r="BL9" s="118"/>
      <c r="BM9" s="118"/>
      <c r="BN9" s="57"/>
      <c r="BO9" s="57"/>
      <c r="BP9" s="57"/>
      <c r="BQ9" s="57"/>
      <c r="BR9" s="57"/>
      <c r="BS9" s="57"/>
      <c r="BT9" s="57"/>
      <c r="BU9" s="57"/>
      <c r="BV9" s="57"/>
      <c r="BW9" s="57"/>
      <c r="BX9" s="57"/>
      <c r="BY9" s="57"/>
      <c r="BZ9" s="57"/>
      <c r="CA9" s="57"/>
      <c r="CB9" s="57"/>
      <c r="CC9" s="57"/>
      <c r="CD9" s="57"/>
      <c r="CE9" s="57"/>
      <c r="CF9" s="57"/>
      <c r="CG9" s="57"/>
    </row>
    <row r="10" spans="1:85" ht="83.25" customHeight="1" x14ac:dyDescent="0.25">
      <c r="A10" s="56"/>
      <c r="C10" s="119" t="s">
        <v>292</v>
      </c>
      <c r="D10" s="120"/>
      <c r="E10" s="120"/>
      <c r="F10" s="121" t="str">
        <f>IF(C10&lt;&gt;"",VLOOKUP(C10,'Info General'!$C$24:$F$6991,4,),"")</f>
        <v>Busqueda de Actividades turisticas</v>
      </c>
      <c r="G10" s="121"/>
      <c r="H10" s="121"/>
      <c r="I10" s="121"/>
      <c r="J10" s="121"/>
      <c r="K10" s="121"/>
      <c r="L10" s="121"/>
      <c r="M10" s="121"/>
      <c r="N10" s="121"/>
      <c r="O10" s="121"/>
      <c r="P10" s="121"/>
      <c r="Q10" s="122" t="s">
        <v>151</v>
      </c>
      <c r="R10" s="123"/>
      <c r="S10" s="123"/>
      <c r="T10" s="123"/>
      <c r="U10" s="123"/>
      <c r="V10" s="123"/>
      <c r="W10" s="123"/>
      <c r="X10" s="123"/>
      <c r="Y10" s="123"/>
      <c r="Z10" s="123"/>
      <c r="AA10" s="124"/>
      <c r="AB10" s="114">
        <f t="shared" si="0"/>
        <v>7.2</v>
      </c>
      <c r="AC10" s="122" t="s">
        <v>296</v>
      </c>
      <c r="AD10" s="123"/>
      <c r="AE10" s="123"/>
      <c r="AF10" s="123"/>
      <c r="AG10" s="123"/>
      <c r="AH10" s="123"/>
      <c r="AI10" s="123"/>
      <c r="AJ10" s="123"/>
      <c r="AK10" s="123"/>
      <c r="AL10" s="124"/>
      <c r="AM10" s="116" t="s">
        <v>172</v>
      </c>
      <c r="AN10" s="116"/>
      <c r="AO10" s="116"/>
      <c r="AP10" s="116"/>
      <c r="AQ10" s="115" t="str">
        <f t="shared" si="1"/>
        <v>4</v>
      </c>
      <c r="AR10" s="116">
        <v>2</v>
      </c>
      <c r="AS10" s="116"/>
      <c r="AT10" s="116"/>
      <c r="AU10" s="116"/>
      <c r="AV10" s="117">
        <f t="shared" ref="AV10" si="4">IF(AR10&lt;&gt;0,(AQ10*AR10+AB10)/100,0)</f>
        <v>0.152</v>
      </c>
      <c r="AW10" s="117"/>
      <c r="AX10" s="117"/>
      <c r="AY10" s="117"/>
      <c r="AZ10" s="118" t="s">
        <v>298</v>
      </c>
      <c r="BA10" s="118"/>
      <c r="BB10" s="118"/>
      <c r="BC10" s="118"/>
      <c r="BD10" s="118"/>
      <c r="BE10" s="118"/>
      <c r="BF10" s="118"/>
      <c r="BG10" s="118"/>
      <c r="BH10" s="118"/>
      <c r="BI10" s="118"/>
      <c r="BJ10" s="118"/>
      <c r="BK10" s="118"/>
      <c r="BL10" s="118"/>
      <c r="BM10" s="118"/>
      <c r="BN10" s="57"/>
      <c r="BO10" s="57"/>
      <c r="BP10" s="57"/>
      <c r="BQ10" s="57"/>
      <c r="BR10" s="57"/>
      <c r="BS10" s="57"/>
      <c r="BT10" s="57"/>
      <c r="BU10" s="57"/>
      <c r="BV10" s="57"/>
      <c r="BW10" s="57"/>
      <c r="BX10" s="57"/>
      <c r="BY10" s="57"/>
      <c r="BZ10" s="57"/>
      <c r="CA10" s="57"/>
      <c r="CB10" s="57"/>
      <c r="CC10" s="57"/>
      <c r="CD10" s="57"/>
      <c r="CE10" s="57"/>
      <c r="CF10" s="57"/>
      <c r="CG10" s="57"/>
    </row>
    <row r="11" spans="1:85" ht="75" customHeight="1" x14ac:dyDescent="0.25">
      <c r="A11" s="56"/>
      <c r="C11" s="119" t="s">
        <v>292</v>
      </c>
      <c r="D11" s="120"/>
      <c r="E11" s="120"/>
      <c r="F11" s="121" t="str">
        <f>IF(C11&lt;&gt;"",VLOOKUP(C11,'Info General'!$C$24:$F$6991,4,),"")</f>
        <v>Busqueda de Actividades turisticas</v>
      </c>
      <c r="G11" s="121"/>
      <c r="H11" s="121"/>
      <c r="I11" s="121"/>
      <c r="J11" s="121"/>
      <c r="K11" s="121"/>
      <c r="L11" s="121"/>
      <c r="M11" s="121"/>
      <c r="N11" s="121"/>
      <c r="O11" s="121"/>
      <c r="P11" s="121"/>
      <c r="Q11" s="122" t="s">
        <v>149</v>
      </c>
      <c r="R11" s="123"/>
      <c r="S11" s="123"/>
      <c r="T11" s="123"/>
      <c r="U11" s="123"/>
      <c r="V11" s="123"/>
      <c r="W11" s="123"/>
      <c r="X11" s="123"/>
      <c r="Y11" s="123"/>
      <c r="Z11" s="123"/>
      <c r="AA11" s="124"/>
      <c r="AB11" s="114">
        <f t="shared" si="0"/>
        <v>7.2</v>
      </c>
      <c r="AC11" s="122" t="s">
        <v>297</v>
      </c>
      <c r="AD11" s="123"/>
      <c r="AE11" s="123"/>
      <c r="AF11" s="123"/>
      <c r="AG11" s="123"/>
      <c r="AH11" s="123"/>
      <c r="AI11" s="123"/>
      <c r="AJ11" s="123"/>
      <c r="AK11" s="123"/>
      <c r="AL11" s="124"/>
      <c r="AM11" s="116" t="s">
        <v>171</v>
      </c>
      <c r="AN11" s="116"/>
      <c r="AO11" s="116"/>
      <c r="AP11" s="116"/>
      <c r="AQ11" s="115" t="str">
        <f t="shared" si="1"/>
        <v>3</v>
      </c>
      <c r="AR11" s="116">
        <v>5</v>
      </c>
      <c r="AS11" s="116"/>
      <c r="AT11" s="116"/>
      <c r="AU11" s="116"/>
      <c r="AV11" s="117">
        <f t="shared" ref="AV11" si="5">IF(AR11&lt;&gt;0,(AQ11*AR11+AB11)/100,0)</f>
        <v>0.222</v>
      </c>
      <c r="AW11" s="117"/>
      <c r="AX11" s="117"/>
      <c r="AY11" s="117"/>
      <c r="AZ11" s="118" t="s">
        <v>299</v>
      </c>
      <c r="BA11" s="118"/>
      <c r="BB11" s="118"/>
      <c r="BC11" s="118"/>
      <c r="BD11" s="118"/>
      <c r="BE11" s="118"/>
      <c r="BF11" s="118"/>
      <c r="BG11" s="118"/>
      <c r="BH11" s="118"/>
      <c r="BI11" s="118"/>
      <c r="BJ11" s="118"/>
      <c r="BK11" s="118"/>
      <c r="BL11" s="118"/>
      <c r="BM11" s="118"/>
      <c r="BN11" s="57"/>
      <c r="BO11" s="57"/>
      <c r="BP11" s="57"/>
      <c r="BQ11" s="57"/>
      <c r="BR11" s="57"/>
      <c r="BS11" s="57"/>
      <c r="BT11" s="57"/>
      <c r="BU11" s="57"/>
      <c r="BV11" s="57"/>
      <c r="BW11" s="57"/>
      <c r="BX11" s="57"/>
      <c r="BY11" s="57"/>
      <c r="BZ11" s="57"/>
      <c r="CA11" s="57"/>
      <c r="CB11" s="57"/>
      <c r="CC11" s="57"/>
      <c r="CD11" s="57"/>
      <c r="CE11" s="57"/>
      <c r="CF11" s="57"/>
      <c r="CG11" s="57"/>
    </row>
    <row r="12" spans="1:85" ht="75" customHeight="1" x14ac:dyDescent="0.25">
      <c r="A12" s="56"/>
      <c r="C12" s="119" t="s">
        <v>300</v>
      </c>
      <c r="D12" s="120"/>
      <c r="E12" s="120"/>
      <c r="F12" s="121" t="str">
        <f>IF(C12&lt;&gt;"",VLOOKUP(C12,'Info General'!$C$24:$F$6991,4,),"")</f>
        <v>Reserva de autos</v>
      </c>
      <c r="G12" s="121"/>
      <c r="H12" s="121"/>
      <c r="I12" s="121"/>
      <c r="J12" s="121"/>
      <c r="K12" s="121"/>
      <c r="L12" s="121"/>
      <c r="M12" s="121"/>
      <c r="N12" s="121"/>
      <c r="O12" s="121"/>
      <c r="P12" s="121"/>
      <c r="Q12" s="122" t="s">
        <v>151</v>
      </c>
      <c r="R12" s="123"/>
      <c r="S12" s="123"/>
      <c r="T12" s="123"/>
      <c r="U12" s="123"/>
      <c r="V12" s="123"/>
      <c r="W12" s="123"/>
      <c r="X12" s="123"/>
      <c r="Y12" s="123"/>
      <c r="Z12" s="123"/>
      <c r="AA12" s="124"/>
      <c r="AB12" s="114">
        <f t="shared" si="0"/>
        <v>7.2</v>
      </c>
      <c r="AC12" s="122" t="s">
        <v>296</v>
      </c>
      <c r="AD12" s="123"/>
      <c r="AE12" s="123"/>
      <c r="AF12" s="123"/>
      <c r="AG12" s="123"/>
      <c r="AH12" s="123"/>
      <c r="AI12" s="123"/>
      <c r="AJ12" s="123"/>
      <c r="AK12" s="123"/>
      <c r="AL12" s="124"/>
      <c r="AM12" s="116" t="s">
        <v>172</v>
      </c>
      <c r="AN12" s="116"/>
      <c r="AO12" s="116"/>
      <c r="AP12" s="116"/>
      <c r="AQ12" s="115" t="str">
        <f t="shared" si="1"/>
        <v>4</v>
      </c>
      <c r="AR12" s="116">
        <v>2</v>
      </c>
      <c r="AS12" s="116"/>
      <c r="AT12" s="116"/>
      <c r="AU12" s="116"/>
      <c r="AV12" s="117">
        <f t="shared" ref="AV12" si="6">IF(AR12&lt;&gt;0,(AQ12*AR12+AB12)/100,0)</f>
        <v>0.152</v>
      </c>
      <c r="AW12" s="117"/>
      <c r="AX12" s="117"/>
      <c r="AY12" s="117"/>
      <c r="AZ12" s="118" t="s">
        <v>298</v>
      </c>
      <c r="BA12" s="118"/>
      <c r="BB12" s="118"/>
      <c r="BC12" s="118"/>
      <c r="BD12" s="118"/>
      <c r="BE12" s="118"/>
      <c r="BF12" s="118"/>
      <c r="BG12" s="118"/>
      <c r="BH12" s="118"/>
      <c r="BI12" s="118"/>
      <c r="BJ12" s="118"/>
      <c r="BK12" s="118"/>
      <c r="BL12" s="118"/>
      <c r="BM12" s="118"/>
      <c r="BN12" s="57"/>
      <c r="BO12" s="57"/>
      <c r="BP12" s="57"/>
      <c r="BQ12" s="57"/>
      <c r="BR12" s="57"/>
      <c r="BS12" s="57"/>
      <c r="BT12" s="57"/>
      <c r="BU12" s="57"/>
      <c r="BV12" s="57"/>
      <c r="BW12" s="57"/>
      <c r="BX12" s="57"/>
      <c r="BY12" s="57"/>
      <c r="BZ12" s="57"/>
      <c r="CA12" s="57"/>
      <c r="CB12" s="57"/>
      <c r="CC12" s="57"/>
      <c r="CD12" s="57"/>
      <c r="CE12" s="57"/>
      <c r="CF12" s="57"/>
      <c r="CG12" s="57"/>
    </row>
    <row r="13" spans="1:85" ht="75" customHeight="1" x14ac:dyDescent="0.25">
      <c r="A13" s="56"/>
      <c r="C13" s="119" t="s">
        <v>300</v>
      </c>
      <c r="D13" s="120"/>
      <c r="E13" s="120"/>
      <c r="F13" s="121" t="str">
        <f>IF(C13&lt;&gt;"",VLOOKUP(C13,'Info General'!$C$24:$F$6991,4,),"")</f>
        <v>Reserva de autos</v>
      </c>
      <c r="G13" s="121"/>
      <c r="H13" s="121"/>
      <c r="I13" s="121"/>
      <c r="J13" s="121"/>
      <c r="K13" s="121"/>
      <c r="L13" s="121"/>
      <c r="M13" s="121"/>
      <c r="N13" s="121"/>
      <c r="O13" s="121"/>
      <c r="P13" s="121"/>
      <c r="Q13" s="122" t="s">
        <v>149</v>
      </c>
      <c r="R13" s="123"/>
      <c r="S13" s="123"/>
      <c r="T13" s="123"/>
      <c r="U13" s="123"/>
      <c r="V13" s="123"/>
      <c r="W13" s="123"/>
      <c r="X13" s="123"/>
      <c r="Y13" s="123"/>
      <c r="Z13" s="123"/>
      <c r="AA13" s="124"/>
      <c r="AB13" s="114">
        <f t="shared" si="0"/>
        <v>7.2</v>
      </c>
      <c r="AC13" s="122" t="s">
        <v>297</v>
      </c>
      <c r="AD13" s="123"/>
      <c r="AE13" s="123"/>
      <c r="AF13" s="123"/>
      <c r="AG13" s="123"/>
      <c r="AH13" s="123"/>
      <c r="AI13" s="123"/>
      <c r="AJ13" s="123"/>
      <c r="AK13" s="123"/>
      <c r="AL13" s="124"/>
      <c r="AM13" s="116" t="s">
        <v>171</v>
      </c>
      <c r="AN13" s="116"/>
      <c r="AO13" s="116"/>
      <c r="AP13" s="116"/>
      <c r="AQ13" s="115" t="str">
        <f t="shared" si="1"/>
        <v>3</v>
      </c>
      <c r="AR13" s="116">
        <v>5</v>
      </c>
      <c r="AS13" s="116"/>
      <c r="AT13" s="116"/>
      <c r="AU13" s="116"/>
      <c r="AV13" s="117">
        <f t="shared" ref="AV13" si="7">IF(AR13&lt;&gt;0,(AQ13*AR13+AB13)/100,0)</f>
        <v>0.222</v>
      </c>
      <c r="AW13" s="117"/>
      <c r="AX13" s="117"/>
      <c r="AY13" s="117"/>
      <c r="AZ13" s="118" t="s">
        <v>299</v>
      </c>
      <c r="BA13" s="118"/>
      <c r="BB13" s="118"/>
      <c r="BC13" s="118"/>
      <c r="BD13" s="118"/>
      <c r="BE13" s="118"/>
      <c r="BF13" s="118"/>
      <c r="BG13" s="118"/>
      <c r="BH13" s="118"/>
      <c r="BI13" s="118"/>
      <c r="BJ13" s="118"/>
      <c r="BK13" s="118"/>
      <c r="BL13" s="118"/>
      <c r="BM13" s="118"/>
      <c r="BN13" s="57"/>
      <c r="BO13" s="57"/>
      <c r="BP13" s="57"/>
      <c r="BQ13" s="57"/>
      <c r="BR13" s="57"/>
      <c r="BS13" s="57"/>
      <c r="BT13" s="57"/>
      <c r="BU13" s="57"/>
      <c r="BV13" s="57"/>
      <c r="BW13" s="57"/>
      <c r="BX13" s="57"/>
      <c r="BY13" s="57"/>
      <c r="BZ13" s="57"/>
      <c r="CA13" s="57"/>
      <c r="CB13" s="57"/>
      <c r="CC13" s="57"/>
      <c r="CD13" s="57"/>
      <c r="CE13" s="57"/>
      <c r="CF13" s="57"/>
      <c r="CG13" s="57"/>
    </row>
    <row r="14" spans="1:85" ht="75" customHeight="1" x14ac:dyDescent="0.25">
      <c r="A14" s="56"/>
      <c r="C14" s="119" t="s">
        <v>302</v>
      </c>
      <c r="D14" s="120"/>
      <c r="E14" s="120"/>
      <c r="F14" s="121" t="str">
        <f>IF(C14&lt;&gt;"",VLOOKUP(C14,'Info General'!$C$24:$F$6991,4,),"")</f>
        <v>Reserva de hoteles</v>
      </c>
      <c r="G14" s="121"/>
      <c r="H14" s="121"/>
      <c r="I14" s="121"/>
      <c r="J14" s="121"/>
      <c r="K14" s="121"/>
      <c r="L14" s="121"/>
      <c r="M14" s="121"/>
      <c r="N14" s="121"/>
      <c r="O14" s="121"/>
      <c r="P14" s="121"/>
      <c r="Q14" s="122" t="s">
        <v>151</v>
      </c>
      <c r="R14" s="123"/>
      <c r="S14" s="123"/>
      <c r="T14" s="123"/>
      <c r="U14" s="123"/>
      <c r="V14" s="123"/>
      <c r="W14" s="123"/>
      <c r="X14" s="123"/>
      <c r="Y14" s="123"/>
      <c r="Z14" s="123"/>
      <c r="AA14" s="124"/>
      <c r="AB14" s="114">
        <f t="shared" si="0"/>
        <v>7.2</v>
      </c>
      <c r="AC14" s="122" t="s">
        <v>296</v>
      </c>
      <c r="AD14" s="123"/>
      <c r="AE14" s="123"/>
      <c r="AF14" s="123"/>
      <c r="AG14" s="123"/>
      <c r="AH14" s="123"/>
      <c r="AI14" s="123"/>
      <c r="AJ14" s="123"/>
      <c r="AK14" s="123"/>
      <c r="AL14" s="124"/>
      <c r="AM14" s="116" t="s">
        <v>172</v>
      </c>
      <c r="AN14" s="116"/>
      <c r="AO14" s="116"/>
      <c r="AP14" s="116"/>
      <c r="AQ14" s="115" t="str">
        <f t="shared" si="1"/>
        <v>4</v>
      </c>
      <c r="AR14" s="116">
        <v>2</v>
      </c>
      <c r="AS14" s="116"/>
      <c r="AT14" s="116"/>
      <c r="AU14" s="116"/>
      <c r="AV14" s="117">
        <f t="shared" ref="AV14" si="8">IF(AR14&lt;&gt;0,(AQ14*AR14+AB14)/100,0)</f>
        <v>0.152</v>
      </c>
      <c r="AW14" s="117"/>
      <c r="AX14" s="117"/>
      <c r="AY14" s="117"/>
      <c r="AZ14" s="118" t="s">
        <v>298</v>
      </c>
      <c r="BA14" s="118"/>
      <c r="BB14" s="118"/>
      <c r="BC14" s="118"/>
      <c r="BD14" s="118"/>
      <c r="BE14" s="118"/>
      <c r="BF14" s="118"/>
      <c r="BG14" s="118"/>
      <c r="BH14" s="118"/>
      <c r="BI14" s="118"/>
      <c r="BJ14" s="118"/>
      <c r="BK14" s="118"/>
      <c r="BL14" s="118"/>
      <c r="BM14" s="118"/>
      <c r="BN14" s="57"/>
      <c r="BO14" s="57"/>
      <c r="BP14" s="57"/>
      <c r="BQ14" s="57"/>
      <c r="BR14" s="57"/>
      <c r="BS14" s="57"/>
      <c r="BT14" s="57"/>
      <c r="BU14" s="57"/>
      <c r="BV14" s="57"/>
      <c r="BW14" s="57"/>
      <c r="BX14" s="57"/>
      <c r="BY14" s="57"/>
      <c r="BZ14" s="57"/>
      <c r="CA14" s="57"/>
      <c r="CB14" s="57"/>
      <c r="CC14" s="57"/>
      <c r="CD14" s="57"/>
      <c r="CE14" s="57"/>
      <c r="CF14" s="57"/>
      <c r="CG14" s="57"/>
    </row>
    <row r="15" spans="1:85" ht="75" customHeight="1" x14ac:dyDescent="0.25">
      <c r="A15" s="56"/>
      <c r="C15" s="119" t="s">
        <v>302</v>
      </c>
      <c r="D15" s="120"/>
      <c r="E15" s="120"/>
      <c r="F15" s="121" t="str">
        <f>IF(C15&lt;&gt;"",VLOOKUP(C15,'Info General'!$C$24:$F$6991,4,),"")</f>
        <v>Reserva de hoteles</v>
      </c>
      <c r="G15" s="121"/>
      <c r="H15" s="121"/>
      <c r="I15" s="121"/>
      <c r="J15" s="121"/>
      <c r="K15" s="121"/>
      <c r="L15" s="121"/>
      <c r="M15" s="121"/>
      <c r="N15" s="121"/>
      <c r="O15" s="121"/>
      <c r="P15" s="121"/>
      <c r="Q15" s="122" t="s">
        <v>149</v>
      </c>
      <c r="R15" s="123"/>
      <c r="S15" s="123"/>
      <c r="T15" s="123"/>
      <c r="U15" s="123"/>
      <c r="V15" s="123"/>
      <c r="W15" s="123"/>
      <c r="X15" s="123"/>
      <c r="Y15" s="123"/>
      <c r="Z15" s="123"/>
      <c r="AA15" s="124"/>
      <c r="AB15" s="114">
        <f t="shared" si="0"/>
        <v>7.2</v>
      </c>
      <c r="AC15" s="122" t="s">
        <v>297</v>
      </c>
      <c r="AD15" s="123"/>
      <c r="AE15" s="123"/>
      <c r="AF15" s="123"/>
      <c r="AG15" s="123"/>
      <c r="AH15" s="123"/>
      <c r="AI15" s="123"/>
      <c r="AJ15" s="123"/>
      <c r="AK15" s="123"/>
      <c r="AL15" s="124"/>
      <c r="AM15" s="116" t="s">
        <v>171</v>
      </c>
      <c r="AN15" s="116"/>
      <c r="AO15" s="116"/>
      <c r="AP15" s="116"/>
      <c r="AQ15" s="115" t="str">
        <f t="shared" si="1"/>
        <v>3</v>
      </c>
      <c r="AR15" s="116">
        <v>5</v>
      </c>
      <c r="AS15" s="116"/>
      <c r="AT15" s="116"/>
      <c r="AU15" s="116"/>
      <c r="AV15" s="117">
        <f t="shared" ref="AV15" si="9">IF(AR15&lt;&gt;0,(AQ15*AR15+AB15)/100,0)</f>
        <v>0.222</v>
      </c>
      <c r="AW15" s="117"/>
      <c r="AX15" s="117"/>
      <c r="AY15" s="117"/>
      <c r="AZ15" s="118" t="s">
        <v>299</v>
      </c>
      <c r="BA15" s="118"/>
      <c r="BB15" s="118"/>
      <c r="BC15" s="118"/>
      <c r="BD15" s="118"/>
      <c r="BE15" s="118"/>
      <c r="BF15" s="118"/>
      <c r="BG15" s="118"/>
      <c r="BH15" s="118"/>
      <c r="BI15" s="118"/>
      <c r="BJ15" s="118"/>
      <c r="BK15" s="118"/>
      <c r="BL15" s="118"/>
      <c r="BM15" s="118"/>
      <c r="BN15" s="57"/>
      <c r="BO15" s="57"/>
      <c r="BP15" s="57"/>
      <c r="BQ15" s="57"/>
      <c r="BR15" s="57"/>
      <c r="BS15" s="57"/>
      <c r="BT15" s="57"/>
      <c r="BU15" s="57"/>
      <c r="BV15" s="57"/>
      <c r="BW15" s="57"/>
      <c r="BX15" s="57"/>
      <c r="BY15" s="57"/>
      <c r="BZ15" s="57"/>
      <c r="CA15" s="57"/>
      <c r="CB15" s="57"/>
      <c r="CC15" s="57"/>
      <c r="CD15" s="57"/>
      <c r="CE15" s="57"/>
      <c r="CF15" s="57"/>
      <c r="CG15" s="57"/>
    </row>
    <row r="16" spans="1:85" x14ac:dyDescent="0.25">
      <c r="A16" s="81" t="s">
        <v>161</v>
      </c>
      <c r="C16" s="138"/>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8"/>
      <c r="AB16" s="138"/>
      <c r="AC16" s="138"/>
      <c r="AD16" s="138"/>
      <c r="AE16" s="138"/>
      <c r="AF16" s="138"/>
      <c r="AG16" s="138"/>
      <c r="AH16" s="138"/>
      <c r="AI16" s="138"/>
      <c r="AJ16" s="138"/>
      <c r="AK16" s="138"/>
      <c r="AL16" s="138"/>
      <c r="AM16" s="138"/>
      <c r="AN16" s="138"/>
      <c r="AO16" s="138"/>
      <c r="AP16" s="138"/>
      <c r="AQ16" s="138"/>
      <c r="AR16" s="138"/>
      <c r="AS16" s="138"/>
      <c r="AT16" s="138"/>
      <c r="AU16" s="138"/>
      <c r="AV16" s="138"/>
      <c r="AW16" s="138"/>
      <c r="AX16" s="138"/>
      <c r="AY16" s="138"/>
      <c r="AZ16" s="138"/>
      <c r="BA16" s="138"/>
      <c r="BB16" s="138"/>
      <c r="BC16" s="138"/>
      <c r="BD16" s="138"/>
      <c r="BE16" s="138"/>
      <c r="BF16" s="138"/>
      <c r="BG16" s="138"/>
      <c r="BH16" s="138"/>
      <c r="BI16" s="138"/>
      <c r="BJ16" s="138"/>
      <c r="BK16" s="138"/>
      <c r="BL16" s="138"/>
      <c r="BM16" s="138"/>
      <c r="BN16" s="57"/>
      <c r="BO16" s="57"/>
      <c r="BP16" s="57"/>
      <c r="BQ16" s="57"/>
      <c r="BR16" s="57"/>
      <c r="BS16" s="57"/>
      <c r="BT16" s="57"/>
      <c r="BU16" s="57"/>
      <c r="BV16" s="57"/>
      <c r="BW16" s="57"/>
      <c r="BX16" s="57"/>
      <c r="BY16" s="57"/>
      <c r="BZ16" s="57"/>
      <c r="CA16" s="57"/>
      <c r="CB16" s="57"/>
      <c r="CC16" s="57"/>
      <c r="CD16" s="57"/>
      <c r="CE16" s="57"/>
      <c r="CF16" s="57"/>
      <c r="CG16" s="57"/>
    </row>
    <row r="17" spans="1:85" x14ac:dyDescent="0.25">
      <c r="C17" s="72"/>
      <c r="D17" s="72"/>
      <c r="E17" s="72"/>
      <c r="F17" s="72"/>
      <c r="G17" s="72"/>
      <c r="H17" s="72"/>
      <c r="I17" s="72"/>
      <c r="J17" s="72"/>
      <c r="K17" s="72"/>
      <c r="L17" s="72"/>
      <c r="M17" s="72"/>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57"/>
      <c r="BO17" s="57"/>
      <c r="BP17" s="57"/>
      <c r="BQ17" s="57"/>
      <c r="BR17" s="57"/>
      <c r="BS17" s="57"/>
      <c r="BT17" s="57"/>
      <c r="BU17" s="57"/>
      <c r="BV17" s="57"/>
      <c r="BW17" s="57"/>
      <c r="BX17" s="57"/>
      <c r="BY17" s="57"/>
      <c r="BZ17" s="57"/>
      <c r="CA17" s="57"/>
      <c r="CB17" s="57"/>
      <c r="CC17" s="57"/>
      <c r="CD17" s="57"/>
      <c r="CE17" s="57"/>
      <c r="CF17" s="57"/>
      <c r="CG17" s="57"/>
    </row>
    <row r="18" spans="1:85" s="57" customFormat="1" x14ac:dyDescent="0.25">
      <c r="C18" s="137"/>
      <c r="D18" s="137"/>
      <c r="E18" s="137"/>
      <c r="F18" s="137"/>
      <c r="G18" s="137"/>
      <c r="H18" s="137"/>
      <c r="I18" s="137"/>
      <c r="J18" s="137"/>
      <c r="K18" s="137"/>
      <c r="L18" s="137"/>
      <c r="M18" s="137"/>
      <c r="N18" s="137"/>
      <c r="O18" s="137"/>
      <c r="P18" s="137"/>
      <c r="Q18" s="137"/>
      <c r="R18" s="137"/>
      <c r="S18" s="137"/>
      <c r="T18" s="137"/>
      <c r="U18" s="137"/>
      <c r="V18" s="137"/>
      <c r="W18" s="137"/>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c r="BE18" s="137"/>
      <c r="BF18" s="137"/>
      <c r="BG18" s="137"/>
      <c r="BH18" s="137"/>
      <c r="BI18" s="137"/>
      <c r="BJ18" s="137"/>
      <c r="BK18" s="137"/>
      <c r="BL18" s="137"/>
      <c r="BM18" s="137"/>
    </row>
    <row r="19" spans="1:85" s="57" customFormat="1" hidden="1" x14ac:dyDescent="0.25">
      <c r="A19" s="11" t="s">
        <v>151</v>
      </c>
      <c r="B19" s="29">
        <v>7.2</v>
      </c>
      <c r="C19" s="73"/>
      <c r="D19" s="73"/>
      <c r="E19" s="73"/>
      <c r="F19" s="73"/>
      <c r="G19" s="73"/>
      <c r="H19" s="73"/>
      <c r="I19" s="73"/>
      <c r="J19" s="73"/>
      <c r="K19" s="73"/>
      <c r="L19" s="73"/>
      <c r="M19" s="73"/>
      <c r="N19" s="73"/>
      <c r="O19" s="73"/>
      <c r="P19" s="70"/>
      <c r="Q19" s="70"/>
      <c r="R19" s="70"/>
      <c r="S19" s="70"/>
      <c r="T19" s="70"/>
      <c r="U19" s="70"/>
      <c r="V19" s="70"/>
      <c r="W19" s="70"/>
      <c r="X19" s="70"/>
      <c r="Y19" s="70"/>
      <c r="Z19" s="70"/>
      <c r="AA19" s="70"/>
      <c r="AB19" s="70"/>
      <c r="AC19" s="70"/>
      <c r="AD19" s="70"/>
      <c r="AE19" s="70"/>
      <c r="AF19" s="70"/>
      <c r="AG19" s="70"/>
      <c r="AH19" s="70"/>
      <c r="AI19" s="70"/>
      <c r="AJ19" s="70"/>
      <c r="AK19" s="70"/>
      <c r="AL19" s="70"/>
      <c r="AM19" s="70"/>
      <c r="AN19" s="70"/>
      <c r="AO19" s="70"/>
      <c r="AP19" s="70"/>
      <c r="AQ19" s="70"/>
      <c r="AR19" s="70"/>
      <c r="AS19" s="70"/>
      <c r="AT19" s="70"/>
      <c r="AU19" s="70"/>
      <c r="AV19" s="70"/>
      <c r="AW19" s="70"/>
      <c r="AX19" s="70"/>
      <c r="AY19" s="70"/>
      <c r="AZ19" s="70"/>
      <c r="BA19" s="70"/>
      <c r="BB19" s="70"/>
      <c r="BC19" s="70"/>
      <c r="BD19" s="70"/>
      <c r="BE19" s="70"/>
      <c r="BF19" s="70"/>
      <c r="BG19" s="70"/>
      <c r="BH19" s="70"/>
      <c r="BI19" s="70"/>
      <c r="BJ19" s="70"/>
      <c r="BK19" s="70"/>
      <c r="BL19" s="70"/>
      <c r="BM19" s="70"/>
    </row>
    <row r="20" spans="1:85" s="57" customFormat="1" hidden="1" x14ac:dyDescent="0.25">
      <c r="A20" s="15" t="s">
        <v>149</v>
      </c>
      <c r="B20" s="29">
        <v>7.2</v>
      </c>
      <c r="C20" s="73"/>
      <c r="D20" s="73"/>
      <c r="E20" s="73"/>
      <c r="F20" s="73"/>
      <c r="G20" s="73"/>
      <c r="H20" s="73"/>
      <c r="I20" s="73"/>
      <c r="J20" s="73"/>
      <c r="K20" s="73"/>
      <c r="L20" s="73"/>
      <c r="M20" s="73"/>
      <c r="N20" s="73"/>
      <c r="O20" s="73"/>
      <c r="P20" s="70"/>
      <c r="Q20" s="70"/>
      <c r="R20" s="70"/>
      <c r="S20" s="70"/>
      <c r="T20" s="70"/>
      <c r="U20" s="70"/>
      <c r="V20" s="70"/>
      <c r="W20" s="70"/>
      <c r="X20" s="70"/>
      <c r="Y20" s="70"/>
      <c r="Z20" s="70"/>
      <c r="AA20" s="70"/>
      <c r="AB20" s="70"/>
      <c r="AC20" s="70"/>
      <c r="AD20" s="70"/>
      <c r="AE20" s="70"/>
      <c r="AF20" s="70"/>
      <c r="AG20" s="70"/>
      <c r="AH20" s="70"/>
      <c r="AI20" s="70"/>
      <c r="AJ20" s="70"/>
      <c r="AK20" s="70"/>
      <c r="AL20" s="70"/>
      <c r="AM20" s="70"/>
      <c r="AN20" s="70"/>
      <c r="AO20" s="70"/>
      <c r="AP20" s="70"/>
      <c r="AQ20" s="70"/>
      <c r="AR20" s="70"/>
      <c r="AS20" s="70"/>
      <c r="AT20" s="70"/>
      <c r="AU20" s="70"/>
      <c r="AV20" s="70"/>
      <c r="AW20" s="70"/>
      <c r="AX20" s="70"/>
      <c r="AY20" s="70"/>
      <c r="AZ20" s="70"/>
      <c r="BA20" s="70"/>
      <c r="BB20" s="70"/>
      <c r="BC20" s="70"/>
      <c r="BD20" s="70"/>
      <c r="BE20" s="70"/>
      <c r="BF20" s="70"/>
      <c r="BG20" s="70"/>
      <c r="BH20" s="70"/>
      <c r="BI20" s="70"/>
      <c r="BJ20" s="70"/>
      <c r="BK20" s="70"/>
      <c r="BL20" s="70"/>
      <c r="BM20" s="70"/>
    </row>
    <row r="21" spans="1:85" s="57" customFormat="1" hidden="1" x14ac:dyDescent="0.25">
      <c r="A21" s="11" t="s">
        <v>180</v>
      </c>
      <c r="B21" s="29">
        <v>7.2</v>
      </c>
      <c r="C21" s="73"/>
      <c r="D21" s="73"/>
      <c r="E21" s="73"/>
      <c r="F21" s="73"/>
      <c r="G21" s="73"/>
      <c r="H21" s="73"/>
      <c r="I21" s="73"/>
      <c r="J21" s="73"/>
      <c r="K21" s="73"/>
      <c r="L21" s="73"/>
      <c r="M21" s="73"/>
      <c r="N21" s="73"/>
      <c r="O21" s="73"/>
      <c r="P21" s="70"/>
      <c r="Q21" s="70"/>
      <c r="R21" s="70"/>
      <c r="S21" s="70"/>
      <c r="T21" s="70"/>
      <c r="U21" s="70"/>
      <c r="V21" s="70"/>
      <c r="W21" s="70"/>
      <c r="X21" s="70"/>
      <c r="Y21" s="70"/>
      <c r="Z21" s="70"/>
      <c r="AA21" s="70"/>
      <c r="AB21" s="70"/>
      <c r="AC21" s="70"/>
      <c r="AD21" s="70"/>
      <c r="AE21" s="70"/>
      <c r="AF21" s="70"/>
      <c r="AG21" s="70"/>
      <c r="AH21" s="70"/>
      <c r="AI21" s="70"/>
      <c r="AJ21" s="70"/>
      <c r="AK21" s="70"/>
      <c r="AL21" s="70"/>
      <c r="AM21" s="70"/>
      <c r="AN21" s="70"/>
      <c r="AO21" s="70"/>
      <c r="AP21" s="70"/>
      <c r="AQ21" s="70"/>
      <c r="AR21" s="70"/>
      <c r="AS21" s="70"/>
      <c r="AT21" s="70"/>
      <c r="AU21" s="70"/>
      <c r="AV21" s="70"/>
      <c r="AW21" s="70"/>
      <c r="AX21" s="70"/>
      <c r="AY21" s="70"/>
      <c r="AZ21" s="70"/>
      <c r="BA21" s="70"/>
      <c r="BB21" s="70"/>
      <c r="BC21" s="70"/>
      <c r="BD21" s="70"/>
      <c r="BE21" s="70"/>
      <c r="BF21" s="70"/>
      <c r="BG21" s="70"/>
      <c r="BH21" s="70"/>
      <c r="BI21" s="70"/>
      <c r="BJ21" s="70"/>
      <c r="BK21" s="70"/>
      <c r="BL21" s="70"/>
      <c r="BM21" s="70"/>
    </row>
    <row r="22" spans="1:85" s="57" customFormat="1" hidden="1" x14ac:dyDescent="0.25">
      <c r="A22" s="11" t="s">
        <v>150</v>
      </c>
      <c r="B22" s="29">
        <v>7.2</v>
      </c>
      <c r="C22" s="73"/>
      <c r="D22" s="73"/>
      <c r="E22" s="73"/>
      <c r="F22" s="73"/>
      <c r="G22" s="73"/>
      <c r="H22" s="73"/>
      <c r="I22" s="73"/>
      <c r="J22" s="73"/>
      <c r="K22" s="73"/>
      <c r="L22" s="73"/>
      <c r="M22" s="73"/>
      <c r="N22" s="73"/>
      <c r="O22" s="73"/>
      <c r="P22" s="70"/>
      <c r="Q22" s="70"/>
      <c r="R22" s="70"/>
      <c r="S22" s="70"/>
      <c r="T22" s="70"/>
      <c r="U22" s="70"/>
      <c r="V22" s="70"/>
      <c r="W22" s="70"/>
      <c r="X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row>
    <row r="23" spans="1:85" s="57" customFormat="1" hidden="1" x14ac:dyDescent="0.25">
      <c r="A23" s="15" t="s">
        <v>176</v>
      </c>
      <c r="B23" s="29">
        <v>7.2</v>
      </c>
      <c r="C23" s="73"/>
      <c r="D23" s="73"/>
      <c r="E23" s="73"/>
      <c r="F23" s="73"/>
      <c r="G23" s="73"/>
      <c r="H23" s="73"/>
      <c r="I23" s="73"/>
      <c r="J23" s="73"/>
      <c r="K23" s="73"/>
      <c r="L23" s="73"/>
      <c r="M23" s="73"/>
      <c r="N23" s="73"/>
      <c r="O23" s="73"/>
      <c r="P23" s="70"/>
      <c r="Q23" s="70"/>
      <c r="R23" s="70"/>
      <c r="S23" s="70"/>
      <c r="T23" s="70"/>
      <c r="U23" s="70"/>
      <c r="V23" s="70"/>
      <c r="W23" s="70"/>
      <c r="X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row>
    <row r="24" spans="1:85" s="57" customFormat="1" hidden="1" x14ac:dyDescent="0.25">
      <c r="A24" s="15" t="s">
        <v>226</v>
      </c>
      <c r="B24" s="29">
        <v>7.2</v>
      </c>
      <c r="C24" s="73"/>
      <c r="D24" s="73"/>
      <c r="E24" s="73"/>
      <c r="F24" s="73"/>
      <c r="G24" s="73"/>
      <c r="H24" s="73"/>
      <c r="I24" s="73"/>
      <c r="J24" s="73"/>
      <c r="K24" s="73"/>
      <c r="L24" s="73"/>
      <c r="M24" s="73"/>
      <c r="N24" s="73"/>
      <c r="O24" s="73"/>
      <c r="P24" s="70"/>
      <c r="Q24" s="70"/>
      <c r="R24" s="70"/>
      <c r="S24" s="70"/>
      <c r="T24" s="70"/>
      <c r="U24" s="70"/>
      <c r="V24" s="70"/>
      <c r="W24" s="70"/>
      <c r="X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row>
    <row r="25" spans="1:85" s="57" customFormat="1" hidden="1" x14ac:dyDescent="0.25">
      <c r="A25" s="15" t="s">
        <v>227</v>
      </c>
      <c r="B25" s="29">
        <v>7.2</v>
      </c>
      <c r="C25" s="73"/>
      <c r="D25" s="73"/>
      <c r="E25" s="73"/>
      <c r="F25" s="73"/>
      <c r="G25" s="73"/>
      <c r="H25" s="73"/>
      <c r="I25" s="73"/>
      <c r="J25" s="73"/>
      <c r="K25" s="73"/>
      <c r="L25" s="73"/>
      <c r="M25" s="73"/>
      <c r="N25" s="73"/>
      <c r="O25" s="73"/>
      <c r="P25" s="70"/>
      <c r="Q25" s="70"/>
      <c r="R25" s="70"/>
      <c r="S25" s="70"/>
      <c r="T25" s="70"/>
      <c r="U25" s="70"/>
      <c r="V25" s="70"/>
      <c r="W25" s="70"/>
      <c r="X25" s="70"/>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row>
    <row r="26" spans="1:85" s="57" customFormat="1" hidden="1" x14ac:dyDescent="0.25">
      <c r="A26" s="15" t="s">
        <v>153</v>
      </c>
      <c r="B26" s="29">
        <v>7.2</v>
      </c>
      <c r="C26" s="73"/>
      <c r="D26" s="73"/>
      <c r="E26" s="73"/>
      <c r="F26" s="73"/>
      <c r="G26" s="73"/>
      <c r="H26" s="73"/>
      <c r="I26" s="73"/>
      <c r="J26" s="73"/>
      <c r="K26" s="73"/>
      <c r="L26" s="73"/>
      <c r="M26" s="73"/>
      <c r="N26" s="73"/>
      <c r="O26" s="73"/>
      <c r="P26" s="70"/>
      <c r="Q26" s="70"/>
      <c r="R26" s="70"/>
      <c r="S26" s="70"/>
      <c r="T26" s="70"/>
      <c r="U26" s="70"/>
      <c r="V26" s="70"/>
      <c r="W26" s="70"/>
      <c r="X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row>
    <row r="27" spans="1:85" s="57" customFormat="1" hidden="1" x14ac:dyDescent="0.25">
      <c r="A27" s="15" t="s">
        <v>152</v>
      </c>
      <c r="B27" s="29">
        <v>7.2</v>
      </c>
      <c r="C27" s="73"/>
      <c r="D27" s="73"/>
      <c r="E27" s="73"/>
      <c r="F27" s="73"/>
      <c r="G27" s="73"/>
      <c r="H27" s="73"/>
      <c r="I27" s="73"/>
      <c r="J27" s="73"/>
      <c r="K27" s="73"/>
      <c r="L27" s="73"/>
      <c r="M27" s="73"/>
      <c r="N27" s="73"/>
      <c r="O27" s="73"/>
      <c r="P27" s="70"/>
      <c r="Q27" s="70"/>
      <c r="R27" s="70"/>
      <c r="S27" s="70"/>
      <c r="T27" s="70"/>
      <c r="U27" s="70"/>
      <c r="V27" s="70"/>
      <c r="W27" s="70"/>
      <c r="X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row>
    <row r="28" spans="1:85" s="57" customFormat="1" hidden="1" x14ac:dyDescent="0.25">
      <c r="A28" s="15" t="s">
        <v>178</v>
      </c>
      <c r="B28" s="29">
        <v>7.2</v>
      </c>
      <c r="C28" s="73"/>
      <c r="D28" s="73"/>
      <c r="E28" s="73"/>
      <c r="F28" s="73"/>
      <c r="G28" s="73"/>
      <c r="H28" s="73"/>
      <c r="I28" s="73"/>
      <c r="J28" s="73"/>
      <c r="K28" s="73"/>
      <c r="L28" s="73"/>
      <c r="M28" s="73"/>
      <c r="N28" s="73"/>
      <c r="O28" s="73"/>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row>
    <row r="29" spans="1:85" s="57" customFormat="1" hidden="1" x14ac:dyDescent="0.25">
      <c r="A29" s="15" t="s">
        <v>175</v>
      </c>
      <c r="B29" s="29">
        <v>7</v>
      </c>
      <c r="C29" s="73"/>
      <c r="D29" s="73"/>
      <c r="E29" s="73"/>
      <c r="F29" s="73"/>
      <c r="G29" s="73"/>
      <c r="H29" s="73"/>
      <c r="I29" s="73"/>
      <c r="J29" s="73"/>
      <c r="K29" s="73"/>
      <c r="L29" s="73"/>
      <c r="M29" s="73"/>
      <c r="N29" s="73"/>
      <c r="O29" s="73"/>
      <c r="P29" s="70"/>
      <c r="Q29" s="70"/>
      <c r="R29" s="70"/>
      <c r="S29" s="70"/>
      <c r="T29" s="70"/>
      <c r="U29" s="70"/>
      <c r="V29" s="70"/>
      <c r="W29" s="70"/>
      <c r="X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row>
    <row r="30" spans="1:85" s="57" customFormat="1" hidden="1" x14ac:dyDescent="0.25">
      <c r="A30" s="15" t="s">
        <v>179</v>
      </c>
      <c r="B30" s="29">
        <v>7</v>
      </c>
      <c r="C30" s="73"/>
      <c r="D30" s="73"/>
      <c r="E30" s="73"/>
      <c r="F30" s="73"/>
      <c r="G30" s="73"/>
      <c r="H30" s="73"/>
      <c r="I30" s="73"/>
      <c r="J30" s="73"/>
      <c r="K30" s="73"/>
      <c r="L30" s="73"/>
      <c r="M30" s="73"/>
      <c r="N30" s="73"/>
      <c r="O30" s="73"/>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row>
    <row r="31" spans="1:85" s="57" customFormat="1" hidden="1" x14ac:dyDescent="0.25">
      <c r="A31" s="15" t="s">
        <v>177</v>
      </c>
      <c r="B31" s="29">
        <v>7</v>
      </c>
      <c r="C31" s="73"/>
      <c r="D31" s="73"/>
      <c r="E31" s="73"/>
      <c r="F31" s="73"/>
      <c r="G31" s="73"/>
      <c r="H31" s="73"/>
      <c r="I31" s="73"/>
      <c r="J31" s="73"/>
      <c r="K31" s="73"/>
      <c r="L31" s="73"/>
      <c r="M31" s="73"/>
      <c r="N31" s="73"/>
      <c r="O31" s="73"/>
      <c r="P31" s="70"/>
      <c r="Q31" s="70"/>
      <c r="R31" s="70"/>
      <c r="S31" s="70"/>
      <c r="T31" s="70"/>
      <c r="U31" s="70"/>
      <c r="V31" s="70"/>
      <c r="W31" s="70"/>
      <c r="X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row>
    <row r="32" spans="1:85" s="57" customFormat="1" hidden="1" x14ac:dyDescent="0.25">
      <c r="A32" s="15" t="s">
        <v>152</v>
      </c>
      <c r="B32" s="29">
        <v>7</v>
      </c>
      <c r="C32" s="73"/>
      <c r="D32" s="73"/>
      <c r="E32" s="73"/>
      <c r="F32" s="73"/>
      <c r="G32" s="73"/>
      <c r="H32" s="73"/>
      <c r="I32" s="73"/>
      <c r="J32" s="73"/>
      <c r="K32" s="73"/>
      <c r="L32" s="73"/>
      <c r="M32" s="73"/>
      <c r="N32" s="73"/>
      <c r="O32" s="73"/>
      <c r="P32" s="70"/>
      <c r="Q32" s="70"/>
      <c r="R32" s="70"/>
      <c r="S32" s="70"/>
      <c r="T32" s="70"/>
      <c r="U32" s="70"/>
      <c r="V32" s="70"/>
      <c r="W32" s="70"/>
      <c r="X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row>
    <row r="33" spans="3:65" s="57" customFormat="1" x14ac:dyDescent="0.25">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row>
    <row r="34" spans="3:65" s="57" customFormat="1" x14ac:dyDescent="0.25">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row>
    <row r="35" spans="3:65" s="57" customFormat="1" x14ac:dyDescent="0.25">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row>
    <row r="36" spans="3:65" s="57" customFormat="1" x14ac:dyDescent="0.25">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row>
    <row r="37" spans="3:65" s="57" customFormat="1" x14ac:dyDescent="0.25">
      <c r="C37" s="70"/>
      <c r="D37" s="70"/>
      <c r="E37" s="70"/>
      <c r="F37" s="70"/>
      <c r="G37" s="70"/>
      <c r="H37" s="70"/>
      <c r="I37" s="70"/>
      <c r="J37" s="70"/>
      <c r="K37" s="70"/>
      <c r="L37" s="70"/>
      <c r="M37" s="70"/>
      <c r="N37" s="70"/>
      <c r="O37" s="70"/>
      <c r="P37" s="70"/>
      <c r="Q37" s="70"/>
      <c r="R37" s="70"/>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row>
    <row r="38" spans="3:65" s="57" customFormat="1" x14ac:dyDescent="0.25">
      <c r="C38" s="70"/>
      <c r="D38" s="70"/>
      <c r="E38" s="70"/>
      <c r="F38" s="70"/>
      <c r="G38" s="70"/>
      <c r="H38" s="70"/>
      <c r="I38" s="70"/>
      <c r="J38" s="70"/>
      <c r="K38" s="70"/>
      <c r="L38" s="70"/>
      <c r="M38" s="70"/>
      <c r="N38" s="70"/>
      <c r="O38" s="70"/>
      <c r="P38" s="70"/>
      <c r="Q38" s="70"/>
      <c r="R38" s="70"/>
      <c r="S38" s="70"/>
      <c r="T38" s="70"/>
      <c r="U38" s="70"/>
      <c r="V38" s="70"/>
      <c r="W38" s="70"/>
      <c r="X38" s="70"/>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row>
    <row r="39" spans="3:65" s="57" customFormat="1" x14ac:dyDescent="0.25">
      <c r="C39" s="70"/>
      <c r="D39" s="70"/>
      <c r="E39" s="70"/>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row>
  </sheetData>
  <sheetProtection algorithmName="SHA-512" hashValue="GEghTIeGXHHqOyO3bPEj9wCndQWBsi8MpnMJxIuDluLXAHR9CAKeqz1A2+/x0oldAnv3E3yi40bywFXqMewSMA==" saltValue="zdIqmKNAlZQbKv8ARYC8/A==" spinCount="100000" sheet="1" objects="1" scenarios="1" formatCells="0" formatRows="0" selectLockedCells="1" autoFilter="0"/>
  <mergeCells count="76">
    <mergeCell ref="C18:BM18"/>
    <mergeCell ref="C16:BM16"/>
    <mergeCell ref="C8:E8"/>
    <mergeCell ref="F8:P8"/>
    <mergeCell ref="Q8:AA8"/>
    <mergeCell ref="AC8:AL8"/>
    <mergeCell ref="AM8:AP8"/>
    <mergeCell ref="AR8:AU8"/>
    <mergeCell ref="AV8:AY8"/>
    <mergeCell ref="AZ8:BM8"/>
    <mergeCell ref="C9:E9"/>
    <mergeCell ref="F9:P9"/>
    <mergeCell ref="Q9:AA9"/>
    <mergeCell ref="AC9:AL9"/>
    <mergeCell ref="AM9:AP9"/>
    <mergeCell ref="AR9:AU9"/>
    <mergeCell ref="C5:P5"/>
    <mergeCell ref="C6:BM6"/>
    <mergeCell ref="C7:E7"/>
    <mergeCell ref="F7:P7"/>
    <mergeCell ref="Q7:AA7"/>
    <mergeCell ref="AC7:AL7"/>
    <mergeCell ref="AM7:AP7"/>
    <mergeCell ref="AR7:AU7"/>
    <mergeCell ref="AV7:AY7"/>
    <mergeCell ref="AZ7:BM7"/>
    <mergeCell ref="AV9:AY9"/>
    <mergeCell ref="AZ9:BM9"/>
    <mergeCell ref="C10:E10"/>
    <mergeCell ref="F10:P10"/>
    <mergeCell ref="Q10:AA10"/>
    <mergeCell ref="AC10:AL10"/>
    <mergeCell ref="AM10:AP10"/>
    <mergeCell ref="AR10:AU10"/>
    <mergeCell ref="AV10:AY10"/>
    <mergeCell ref="AZ10:BM10"/>
    <mergeCell ref="AR11:AU11"/>
    <mergeCell ref="AV11:AY11"/>
    <mergeCell ref="AZ11:BM11"/>
    <mergeCell ref="C12:E12"/>
    <mergeCell ref="F12:P12"/>
    <mergeCell ref="Q12:AA12"/>
    <mergeCell ref="AC12:AL12"/>
    <mergeCell ref="AM12:AP12"/>
    <mergeCell ref="AR12:AU12"/>
    <mergeCell ref="AV12:AY12"/>
    <mergeCell ref="AZ12:BM12"/>
    <mergeCell ref="C11:E11"/>
    <mergeCell ref="F11:P11"/>
    <mergeCell ref="Q11:AA11"/>
    <mergeCell ref="AC11:AL11"/>
    <mergeCell ref="AM11:AP11"/>
    <mergeCell ref="AR13:AU13"/>
    <mergeCell ref="AV13:AY13"/>
    <mergeCell ref="AZ13:BM13"/>
    <mergeCell ref="C14:E14"/>
    <mergeCell ref="F14:P14"/>
    <mergeCell ref="Q14:AA14"/>
    <mergeCell ref="AC14:AL14"/>
    <mergeCell ref="AM14:AP14"/>
    <mergeCell ref="AR14:AU14"/>
    <mergeCell ref="AV14:AY14"/>
    <mergeCell ref="AZ14:BM14"/>
    <mergeCell ref="C13:E13"/>
    <mergeCell ref="F13:P13"/>
    <mergeCell ref="Q13:AA13"/>
    <mergeCell ref="AC13:AL13"/>
    <mergeCell ref="AM13:AP13"/>
    <mergeCell ref="AR15:AU15"/>
    <mergeCell ref="AV15:AY15"/>
    <mergeCell ref="AZ15:BM15"/>
    <mergeCell ref="C15:E15"/>
    <mergeCell ref="F15:P15"/>
    <mergeCell ref="Q15:AA15"/>
    <mergeCell ref="AC15:AL15"/>
    <mergeCell ref="AM15:AP15"/>
  </mergeCells>
  <dataValidations count="1">
    <dataValidation type="whole" operator="lessThanOrEqual" allowBlank="1" showInputMessage="1" showErrorMessage="1" sqref="AR8:AU15">
      <formula1>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insertarRiesgo">
                <anchor>
                  <from>
                    <xdr:col>3</xdr:col>
                    <xdr:colOff>104775</xdr:colOff>
                    <xdr:row>1</xdr:row>
                    <xdr:rowOff>0</xdr:rowOff>
                  </from>
                  <to>
                    <xdr:col>9</xdr:col>
                    <xdr:colOff>142875</xdr:colOff>
                    <xdr:row>3</xdr:row>
                    <xdr:rowOff>85725</xdr:rowOff>
                  </to>
                </anchor>
              </controlPr>
            </control>
          </mc:Choice>
        </mc:AlternateContent>
        <mc:AlternateContent xmlns:mc="http://schemas.openxmlformats.org/markup-compatibility/2006">
          <mc:Choice Requires="x14">
            <control shapeId="12293" r:id="rId5" name="Button 5">
              <controlPr defaultSize="0" print="0" autoFill="0" autoPict="0" macro="[0]!eliminarResgistro">
                <anchor>
                  <from>
                    <xdr:col>10</xdr:col>
                    <xdr:colOff>152400</xdr:colOff>
                    <xdr:row>0</xdr:row>
                    <xdr:rowOff>142875</xdr:rowOff>
                  </from>
                  <to>
                    <xdr:col>16</xdr:col>
                    <xdr:colOff>114300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Listas!$T$14:$T$17</xm:f>
          </x14:formula1>
          <xm:sqref>AM8:AP15</xm:sqref>
        </x14:dataValidation>
        <x14:dataValidation type="list" allowBlank="1" showInputMessage="1" showErrorMessage="1">
          <x14:formula1>
            <xm:f>Listas!$B$14:$B$27</xm:f>
          </x14:formula1>
          <xm:sqref>Q8:AA15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9" tint="0.79998168889431442"/>
  </sheetPr>
  <dimension ref="A1:BM59"/>
  <sheetViews>
    <sheetView showGridLines="0" workbookViewId="0">
      <selection activeCell="AZ10" sqref="AZ10:BB10"/>
    </sheetView>
  </sheetViews>
  <sheetFormatPr baseColWidth="10" defaultColWidth="2.7109375" defaultRowHeight="12.75" x14ac:dyDescent="0.2"/>
  <cols>
    <col min="1" max="36" width="2.7109375" style="11"/>
    <col min="37" max="51" width="3" style="11" customWidth="1"/>
    <col min="52" max="60" width="4.28515625" style="11" customWidth="1"/>
    <col min="61" max="61" width="2.7109375" style="11"/>
    <col min="62" max="62" width="3.5703125" style="11" customWidth="1"/>
    <col min="63" max="63" width="11.42578125" style="11" hidden="1" customWidth="1"/>
    <col min="64" max="65" width="8" style="11" hidden="1" customWidth="1"/>
    <col min="66" max="66" width="2.7109375" style="11" customWidth="1"/>
    <col min="67" max="16384" width="2.7109375" style="11"/>
  </cols>
  <sheetData>
    <row r="1" spans="1:65" ht="40.5" customHeight="1" x14ac:dyDescent="0.2"/>
    <row r="2" spans="1:65" ht="14.25" x14ac:dyDescent="0.25">
      <c r="C2" s="174" t="s">
        <v>109</v>
      </c>
      <c r="D2" s="175"/>
      <c r="E2" s="175"/>
      <c r="F2" s="175"/>
      <c r="G2" s="175"/>
      <c r="H2" s="175"/>
      <c r="I2" s="175"/>
      <c r="J2" s="175"/>
      <c r="K2" s="175"/>
      <c r="L2" s="175"/>
      <c r="M2" s="175"/>
      <c r="N2" s="175"/>
      <c r="O2" s="175"/>
      <c r="P2" s="176"/>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7"/>
      <c r="BC2" s="107"/>
      <c r="BD2" s="107"/>
      <c r="BE2" s="107"/>
      <c r="BF2" s="107"/>
      <c r="BG2" s="107"/>
      <c r="BH2" s="107"/>
    </row>
    <row r="3" spans="1:65" ht="14.25"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2"/>
      <c r="AV3" s="102"/>
      <c r="AW3" s="102"/>
      <c r="AX3" s="102"/>
      <c r="AY3" s="102"/>
      <c r="AZ3" s="102"/>
      <c r="BA3" s="102"/>
      <c r="BB3" s="102"/>
      <c r="BC3" s="102"/>
      <c r="BD3" s="102"/>
      <c r="BE3" s="102"/>
      <c r="BF3" s="102"/>
      <c r="BG3" s="102"/>
      <c r="BH3" s="102"/>
    </row>
    <row r="4" spans="1:65" ht="14.25" x14ac:dyDescent="0.25">
      <c r="C4" s="195" t="s">
        <v>232</v>
      </c>
      <c r="D4" s="195"/>
      <c r="E4" s="195"/>
      <c r="F4" s="195"/>
      <c r="G4" s="195"/>
      <c r="H4" s="195"/>
      <c r="I4" s="195"/>
      <c r="J4" s="195"/>
      <c r="K4" s="195"/>
      <c r="L4" s="195"/>
      <c r="M4" s="195"/>
      <c r="N4" s="195"/>
      <c r="O4" s="195"/>
      <c r="P4" s="195"/>
      <c r="Q4" s="195"/>
      <c r="R4" s="195"/>
      <c r="S4" s="195"/>
      <c r="T4" s="195"/>
      <c r="U4" s="195"/>
      <c r="V4" s="195" t="s">
        <v>42</v>
      </c>
      <c r="W4" s="195"/>
      <c r="X4" s="195"/>
      <c r="Y4" s="195"/>
      <c r="Z4" s="195"/>
      <c r="AA4" s="195"/>
      <c r="AB4" s="195"/>
      <c r="AC4" s="195"/>
      <c r="AD4" s="195"/>
      <c r="AE4" s="195"/>
      <c r="AF4" s="195"/>
      <c r="AG4" s="195"/>
      <c r="AH4" s="195"/>
      <c r="AI4" s="195"/>
      <c r="AJ4" s="195"/>
      <c r="AK4" s="195"/>
      <c r="AL4" s="195"/>
      <c r="AM4" s="195"/>
      <c r="AN4" s="195"/>
      <c r="AO4" s="195"/>
      <c r="AP4" s="195"/>
      <c r="AQ4" s="195"/>
      <c r="AR4" s="195"/>
      <c r="AS4" s="195"/>
      <c r="AT4" s="195"/>
      <c r="AU4" s="195"/>
      <c r="AV4" s="195"/>
      <c r="AW4" s="195"/>
      <c r="AX4" s="195"/>
      <c r="AY4" s="195"/>
      <c r="AZ4" s="189" t="s">
        <v>22</v>
      </c>
      <c r="BA4" s="190"/>
      <c r="BB4" s="190"/>
      <c r="BC4" s="190"/>
      <c r="BD4" s="190"/>
      <c r="BE4" s="190"/>
      <c r="BF4" s="190"/>
      <c r="BG4" s="190"/>
      <c r="BH4" s="191"/>
      <c r="BK4" s="65"/>
      <c r="BL4" s="65"/>
      <c r="BM4" s="65"/>
    </row>
    <row r="5" spans="1:65" ht="15" customHeight="1" x14ac:dyDescent="0.2">
      <c r="C5" s="183" t="s">
        <v>31</v>
      </c>
      <c r="D5" s="184"/>
      <c r="E5" s="185"/>
      <c r="F5" s="183" t="s">
        <v>131</v>
      </c>
      <c r="G5" s="184"/>
      <c r="H5" s="184"/>
      <c r="I5" s="184"/>
      <c r="J5" s="184"/>
      <c r="K5" s="184"/>
      <c r="L5" s="184"/>
      <c r="M5" s="184"/>
      <c r="N5" s="184"/>
      <c r="O5" s="184"/>
      <c r="P5" s="184"/>
      <c r="Q5" s="184"/>
      <c r="R5" s="184"/>
      <c r="S5" s="184"/>
      <c r="T5" s="184"/>
      <c r="U5" s="185"/>
      <c r="V5" s="186" t="s">
        <v>258</v>
      </c>
      <c r="W5" s="187"/>
      <c r="X5" s="187"/>
      <c r="Y5" s="187"/>
      <c r="Z5" s="187"/>
      <c r="AA5" s="187"/>
      <c r="AB5" s="187"/>
      <c r="AC5" s="187"/>
      <c r="AD5" s="187"/>
      <c r="AE5" s="187"/>
      <c r="AF5" s="187"/>
      <c r="AG5" s="187"/>
      <c r="AH5" s="187"/>
      <c r="AI5" s="187"/>
      <c r="AJ5" s="188"/>
      <c r="AK5" s="186" t="s">
        <v>257</v>
      </c>
      <c r="AL5" s="187"/>
      <c r="AM5" s="187"/>
      <c r="AN5" s="187"/>
      <c r="AO5" s="187"/>
      <c r="AP5" s="187"/>
      <c r="AQ5" s="187"/>
      <c r="AR5" s="187"/>
      <c r="AS5" s="187"/>
      <c r="AT5" s="187"/>
      <c r="AU5" s="187"/>
      <c r="AV5" s="187"/>
      <c r="AW5" s="187"/>
      <c r="AX5" s="187"/>
      <c r="AY5" s="188"/>
      <c r="AZ5" s="192"/>
      <c r="BA5" s="193"/>
      <c r="BB5" s="193"/>
      <c r="BC5" s="193"/>
      <c r="BD5" s="193"/>
      <c r="BE5" s="193"/>
      <c r="BF5" s="193"/>
      <c r="BG5" s="193"/>
      <c r="BH5" s="194"/>
      <c r="BJ5" s="7" t="s">
        <v>183</v>
      </c>
      <c r="BK5" s="65">
        <f>'Info General'!R15</f>
        <v>5</v>
      </c>
      <c r="BL5" s="65"/>
      <c r="BM5" s="65"/>
    </row>
    <row r="6" spans="1:65" ht="14.25" x14ac:dyDescent="0.25">
      <c r="A6" s="7" t="s">
        <v>162</v>
      </c>
      <c r="C6" s="169"/>
      <c r="D6" s="170"/>
      <c r="E6" s="171"/>
      <c r="F6" s="169"/>
      <c r="G6" s="170"/>
      <c r="H6" s="170"/>
      <c r="I6" s="170"/>
      <c r="J6" s="170"/>
      <c r="K6" s="170"/>
      <c r="L6" s="170"/>
      <c r="M6" s="170"/>
      <c r="N6" s="170"/>
      <c r="O6" s="170"/>
      <c r="P6" s="170"/>
      <c r="Q6" s="170"/>
      <c r="R6" s="170"/>
      <c r="S6" s="170"/>
      <c r="T6" s="170"/>
      <c r="U6" s="171"/>
      <c r="V6" s="196" t="s">
        <v>39</v>
      </c>
      <c r="W6" s="197"/>
      <c r="X6" s="197"/>
      <c r="Y6" s="196" t="s">
        <v>23</v>
      </c>
      <c r="Z6" s="196"/>
      <c r="AA6" s="196"/>
      <c r="AB6" s="196" t="s">
        <v>24</v>
      </c>
      <c r="AC6" s="196"/>
      <c r="AD6" s="196"/>
      <c r="AE6" s="196" t="s">
        <v>40</v>
      </c>
      <c r="AF6" s="196"/>
      <c r="AG6" s="196"/>
      <c r="AH6" s="196" t="s">
        <v>41</v>
      </c>
      <c r="AI6" s="196"/>
      <c r="AJ6" s="196"/>
      <c r="AK6" s="158" t="s">
        <v>252</v>
      </c>
      <c r="AL6" s="158"/>
      <c r="AM6" s="158"/>
      <c r="AN6" s="158" t="s">
        <v>253</v>
      </c>
      <c r="AO6" s="158"/>
      <c r="AP6" s="158"/>
      <c r="AQ6" s="158" t="s">
        <v>254</v>
      </c>
      <c r="AR6" s="158"/>
      <c r="AS6" s="158"/>
      <c r="AT6" s="158" t="s">
        <v>255</v>
      </c>
      <c r="AU6" s="158"/>
      <c r="AV6" s="158"/>
      <c r="AW6" s="196" t="s">
        <v>256</v>
      </c>
      <c r="AX6" s="196"/>
      <c r="AY6" s="196"/>
      <c r="AZ6" s="196" t="s">
        <v>44</v>
      </c>
      <c r="BA6" s="196"/>
      <c r="BB6" s="196"/>
      <c r="BC6" s="196" t="s">
        <v>45</v>
      </c>
      <c r="BD6" s="196"/>
      <c r="BE6" s="196"/>
      <c r="BF6" s="196" t="s">
        <v>259</v>
      </c>
      <c r="BG6" s="196"/>
      <c r="BH6" s="196"/>
      <c r="BJ6" s="7" t="s">
        <v>182</v>
      </c>
      <c r="BK6" s="65" t="s">
        <v>70</v>
      </c>
      <c r="BL6" s="65" t="s">
        <v>184</v>
      </c>
      <c r="BM6" s="65" t="s">
        <v>185</v>
      </c>
    </row>
    <row r="7" spans="1:65" ht="14.25" x14ac:dyDescent="0.25">
      <c r="A7" s="7"/>
      <c r="C7" s="139" t="str">
        <f>IF('Info General'!C24:E24&lt;&gt;"",'Info General'!C24:E24,"")</f>
        <v>HU-001</v>
      </c>
      <c r="D7" s="140"/>
      <c r="E7" s="141"/>
      <c r="F7" s="142" t="str">
        <f>IF('Info General'!F24:T24&lt;&gt;"",'Info General'!F24:T24,"")</f>
        <v>Acceso a la plataforma Travelocity</v>
      </c>
      <c r="G7" s="143"/>
      <c r="H7" s="143"/>
      <c r="I7" s="143"/>
      <c r="J7" s="143"/>
      <c r="K7" s="143"/>
      <c r="L7" s="143"/>
      <c r="M7" s="143"/>
      <c r="N7" s="143"/>
      <c r="O7" s="143"/>
      <c r="P7" s="143"/>
      <c r="Q7" s="143"/>
      <c r="R7" s="143"/>
      <c r="S7" s="143"/>
      <c r="T7" s="143"/>
      <c r="U7" s="143"/>
      <c r="V7" s="144">
        <v>0.5</v>
      </c>
      <c r="W7" s="144"/>
      <c r="X7" s="144"/>
      <c r="Y7" s="144">
        <v>1</v>
      </c>
      <c r="Z7" s="144"/>
      <c r="AA7" s="144"/>
      <c r="AB7" s="144">
        <v>1</v>
      </c>
      <c r="AC7" s="144"/>
      <c r="AD7" s="144"/>
      <c r="AE7" s="144">
        <v>1</v>
      </c>
      <c r="AF7" s="144"/>
      <c r="AG7" s="144"/>
      <c r="AH7" s="146">
        <f>IF(C7&lt;&gt;"",SUM(V7:AG7)+$AF$23,0)</f>
        <v>3.5</v>
      </c>
      <c r="AI7" s="146"/>
      <c r="AJ7" s="146"/>
      <c r="AK7" s="145">
        <f t="shared" ref="AK7" si="0">IF(BK7&lt;&gt;"",V7+(V7*$BK7),0)</f>
        <v>0.68700000000000006</v>
      </c>
      <c r="AL7" s="145"/>
      <c r="AM7" s="145"/>
      <c r="AN7" s="145">
        <f t="shared" ref="AN7" si="1">IF(BK7&lt;&gt;"",Y7+(Y7*$BK7),0)</f>
        <v>1.3740000000000001</v>
      </c>
      <c r="AO7" s="145"/>
      <c r="AP7" s="145"/>
      <c r="AQ7" s="145">
        <f t="shared" ref="AQ7" si="2">IF(BK7&lt;&gt;"",AB7+(AB7*$BK7),0)</f>
        <v>1.3740000000000001</v>
      </c>
      <c r="AR7" s="145"/>
      <c r="AS7" s="145"/>
      <c r="AT7" s="145">
        <f t="shared" ref="AT7" si="3">IF(BK7&lt;&gt;"",AE7+(AE7*$BK7),0)</f>
        <v>1.3740000000000001</v>
      </c>
      <c r="AU7" s="145"/>
      <c r="AV7" s="145"/>
      <c r="AW7" s="146">
        <f>IF(C7&lt;&gt;"",SUM(AK7:AV7)+$AF$23,0)</f>
        <v>4.8090000000000002</v>
      </c>
      <c r="AX7" s="146"/>
      <c r="AY7" s="146"/>
      <c r="AZ7" s="147">
        <v>44321</v>
      </c>
      <c r="BA7" s="147"/>
      <c r="BB7" s="147"/>
      <c r="BC7" s="148">
        <f>IF(AZ7&gt;0,WORKDAY(AZ7,BL7,Listas!$B$38:$B$54),AZ7)</f>
        <v>44321</v>
      </c>
      <c r="BD7" s="148"/>
      <c r="BE7" s="148"/>
      <c r="BF7" s="148">
        <f>IF(AZ7&gt;0,WORKDAY(AZ7,BM7,Listas!$B$38:$B$54),AZ7)</f>
        <v>44321</v>
      </c>
      <c r="BG7" s="148"/>
      <c r="BH7" s="148"/>
      <c r="BJ7" s="33">
        <f>+SUMIF('Riesgos y PD'!$C$8:$C$6995,'Tiempos Planeados'!C7,'Riesgos y PD'!$AR$8:$AR$6995)</f>
        <v>7</v>
      </c>
      <c r="BK7" s="66">
        <f>IF(C7&lt;&gt;"",SUMIF('Riesgos y PD'!$C$8:$C$6995,'Tiempos Planeados'!C7,'Riesgos y PD'!$AV$8:$AV$6995),"0")</f>
        <v>0.374</v>
      </c>
      <c r="BL7" s="67">
        <f t="shared" ref="BL7" si="4">AH7/$BK$5</f>
        <v>0.7</v>
      </c>
      <c r="BM7" s="67">
        <f t="shared" ref="BM7" si="5">AW7/$BK$5</f>
        <v>0.96179999999999999</v>
      </c>
    </row>
    <row r="8" spans="1:65" ht="14.25" x14ac:dyDescent="0.25">
      <c r="A8" s="7"/>
      <c r="C8" s="139" t="str">
        <f>IF('Info General'!C25:E25&lt;&gt;"",'Info General'!C25:E25,"")</f>
        <v>HU-002</v>
      </c>
      <c r="D8" s="140"/>
      <c r="E8" s="141"/>
      <c r="F8" s="142" t="str">
        <f>IF('Info General'!F25:T25&lt;&gt;"",'Info General'!F25:T25,"")</f>
        <v>Busqueda de Actividades turisticas</v>
      </c>
      <c r="G8" s="143"/>
      <c r="H8" s="143"/>
      <c r="I8" s="143"/>
      <c r="J8" s="143"/>
      <c r="K8" s="143"/>
      <c r="L8" s="143"/>
      <c r="M8" s="143"/>
      <c r="N8" s="143"/>
      <c r="O8" s="143"/>
      <c r="P8" s="143"/>
      <c r="Q8" s="143"/>
      <c r="R8" s="143"/>
      <c r="S8" s="143"/>
      <c r="T8" s="143"/>
      <c r="U8" s="143"/>
      <c r="V8" s="144">
        <v>0.5</v>
      </c>
      <c r="W8" s="144"/>
      <c r="X8" s="144"/>
      <c r="Y8" s="144">
        <v>1</v>
      </c>
      <c r="Z8" s="144"/>
      <c r="AA8" s="144"/>
      <c r="AB8" s="144">
        <v>1.5</v>
      </c>
      <c r="AC8" s="144"/>
      <c r="AD8" s="144"/>
      <c r="AE8" s="144">
        <v>1</v>
      </c>
      <c r="AF8" s="144"/>
      <c r="AG8" s="144"/>
      <c r="AH8" s="146">
        <f>IF(C8&lt;&gt;"",SUM(V8:AG8)+$AF$23,0)</f>
        <v>4</v>
      </c>
      <c r="AI8" s="146"/>
      <c r="AJ8" s="146"/>
      <c r="AK8" s="145">
        <f t="shared" ref="AK8" si="6">IF(BK8&lt;&gt;"",V8+(V8*$BK8),0)</f>
        <v>0.68700000000000006</v>
      </c>
      <c r="AL8" s="145"/>
      <c r="AM8" s="145"/>
      <c r="AN8" s="145">
        <f t="shared" ref="AN8" si="7">IF(BK8&lt;&gt;"",Y8+(Y8*$BK8),0)</f>
        <v>1.3740000000000001</v>
      </c>
      <c r="AO8" s="145"/>
      <c r="AP8" s="145"/>
      <c r="AQ8" s="145">
        <f t="shared" ref="AQ8" si="8">IF(BK8&lt;&gt;"",AB8+(AB8*$BK8),0)</f>
        <v>2.0609999999999999</v>
      </c>
      <c r="AR8" s="145"/>
      <c r="AS8" s="145"/>
      <c r="AT8" s="145">
        <f t="shared" ref="AT8" si="9">IF(BK8&lt;&gt;"",AE8+(AE8*$BK8),0)</f>
        <v>1.3740000000000001</v>
      </c>
      <c r="AU8" s="145"/>
      <c r="AV8" s="145"/>
      <c r="AW8" s="146">
        <f>IF(C8&lt;&gt;"",SUM(AK8:AV8)+$AF$23,0)</f>
        <v>5.4960000000000004</v>
      </c>
      <c r="AX8" s="146"/>
      <c r="AY8" s="146"/>
      <c r="AZ8" s="147">
        <v>44322</v>
      </c>
      <c r="BA8" s="147"/>
      <c r="BB8" s="147"/>
      <c r="BC8" s="148">
        <f>IF(AZ8&gt;0,WORKDAY(AZ8,BL8,Listas!$B$38:$B$54),AZ8)</f>
        <v>44322</v>
      </c>
      <c r="BD8" s="148"/>
      <c r="BE8" s="148"/>
      <c r="BF8" s="148">
        <f>IF(AZ8&gt;0,WORKDAY(AZ8,BM8,Listas!$B$38:$B$54),AZ8)</f>
        <v>44323</v>
      </c>
      <c r="BG8" s="148"/>
      <c r="BH8" s="148"/>
      <c r="BJ8" s="33">
        <f>+SUMIF('Riesgos y PD'!$C$8:$C$6995,'Tiempos Planeados'!C8,'Riesgos y PD'!$AR$8:$AR$6995)</f>
        <v>7</v>
      </c>
      <c r="BK8" s="66">
        <f>IF(C8&lt;&gt;"",SUMIF('Riesgos y PD'!$C$8:$C$6995,'Tiempos Planeados'!C8,'Riesgos y PD'!$AV$8:$AV$6995),"0")</f>
        <v>0.374</v>
      </c>
      <c r="BL8" s="67">
        <f t="shared" ref="BL8" si="10">AH8/$BK$5</f>
        <v>0.8</v>
      </c>
      <c r="BM8" s="67">
        <f t="shared" ref="BM8" si="11">AW8/$BK$5</f>
        <v>1.0992000000000002</v>
      </c>
    </row>
    <row r="9" spans="1:65" ht="14.25" x14ac:dyDescent="0.25">
      <c r="A9" s="7"/>
      <c r="C9" s="139" t="str">
        <f>IF('Info General'!C26:E26&lt;&gt;"",'Info General'!C26:E26,"")</f>
        <v>HU-003</v>
      </c>
      <c r="D9" s="140"/>
      <c r="E9" s="141"/>
      <c r="F9" s="142" t="str">
        <f>IF('Info General'!F26:T26&lt;&gt;"",'Info General'!F26:T26,"")</f>
        <v>Reserva de autos</v>
      </c>
      <c r="G9" s="143"/>
      <c r="H9" s="143"/>
      <c r="I9" s="143"/>
      <c r="J9" s="143"/>
      <c r="K9" s="143"/>
      <c r="L9" s="143"/>
      <c r="M9" s="143"/>
      <c r="N9" s="143"/>
      <c r="O9" s="143"/>
      <c r="P9" s="143"/>
      <c r="Q9" s="143"/>
      <c r="R9" s="143"/>
      <c r="S9" s="143"/>
      <c r="T9" s="143"/>
      <c r="U9" s="143"/>
      <c r="V9" s="144">
        <v>0.5</v>
      </c>
      <c r="W9" s="144"/>
      <c r="X9" s="144"/>
      <c r="Y9" s="144">
        <v>1.5</v>
      </c>
      <c r="Z9" s="144"/>
      <c r="AA9" s="144"/>
      <c r="AB9" s="144">
        <v>2</v>
      </c>
      <c r="AC9" s="144"/>
      <c r="AD9" s="144"/>
      <c r="AE9" s="144">
        <v>1</v>
      </c>
      <c r="AF9" s="144"/>
      <c r="AG9" s="144"/>
      <c r="AH9" s="146">
        <f>IF(C9&lt;&gt;"",SUM(V9:AG9)+$AF$23,0)</f>
        <v>5</v>
      </c>
      <c r="AI9" s="146"/>
      <c r="AJ9" s="146"/>
      <c r="AK9" s="145">
        <f t="shared" ref="AK9" si="12">IF(BK9&lt;&gt;"",V9+(V9*$BK9),0)</f>
        <v>0.68700000000000006</v>
      </c>
      <c r="AL9" s="145"/>
      <c r="AM9" s="145"/>
      <c r="AN9" s="145">
        <f t="shared" ref="AN9" si="13">IF(BK9&lt;&gt;"",Y9+(Y9*$BK9),0)</f>
        <v>2.0609999999999999</v>
      </c>
      <c r="AO9" s="145"/>
      <c r="AP9" s="145"/>
      <c r="AQ9" s="145">
        <f t="shared" ref="AQ9" si="14">IF(BK9&lt;&gt;"",AB9+(AB9*$BK9),0)</f>
        <v>2.7480000000000002</v>
      </c>
      <c r="AR9" s="145"/>
      <c r="AS9" s="145"/>
      <c r="AT9" s="145">
        <f t="shared" ref="AT9" si="15">IF(BK9&lt;&gt;"",AE9+(AE9*$BK9),0)</f>
        <v>1.3740000000000001</v>
      </c>
      <c r="AU9" s="145"/>
      <c r="AV9" s="145"/>
      <c r="AW9" s="146">
        <f>IF(C9&lt;&gt;"",SUM(AK9:AV9)+$AF$23,0)</f>
        <v>6.870000000000001</v>
      </c>
      <c r="AX9" s="146"/>
      <c r="AY9" s="146"/>
      <c r="AZ9" s="147">
        <v>44323</v>
      </c>
      <c r="BA9" s="147"/>
      <c r="BB9" s="147"/>
      <c r="BC9" s="148">
        <f>IF(AZ9&gt;0,WORKDAY(AZ9,BL9,Listas!$B$38:$B$54),AZ9)</f>
        <v>44326</v>
      </c>
      <c r="BD9" s="148"/>
      <c r="BE9" s="148"/>
      <c r="BF9" s="148">
        <f>IF(AZ9&gt;0,WORKDAY(AZ9,BM9,Listas!$B$38:$B$54),AZ9)</f>
        <v>44326</v>
      </c>
      <c r="BG9" s="148"/>
      <c r="BH9" s="148"/>
      <c r="BJ9" s="33">
        <f>+SUMIF('Riesgos y PD'!$C$8:$C$6995,'Tiempos Planeados'!C9,'Riesgos y PD'!$AR$8:$AR$6995)</f>
        <v>7</v>
      </c>
      <c r="BK9" s="66">
        <f>IF(C9&lt;&gt;"",SUMIF('Riesgos y PD'!$C$8:$C$6995,'Tiempos Planeados'!C9,'Riesgos y PD'!$AV$8:$AV$6995),"0")</f>
        <v>0.374</v>
      </c>
      <c r="BL9" s="67">
        <f t="shared" ref="BL9" si="16">AH9/$BK$5</f>
        <v>1</v>
      </c>
      <c r="BM9" s="67">
        <f t="shared" ref="BM9" si="17">AW9/$BK$5</f>
        <v>1.3740000000000001</v>
      </c>
    </row>
    <row r="10" spans="1:65" ht="14.25" x14ac:dyDescent="0.25">
      <c r="A10" s="7"/>
      <c r="C10" s="139" t="str">
        <f>IF('Info General'!C27:E27&lt;&gt;"",'Info General'!C27:E27,"")</f>
        <v>HU-004</v>
      </c>
      <c r="D10" s="140"/>
      <c r="E10" s="141"/>
      <c r="F10" s="142" t="str">
        <f>IF('Info General'!F27:T27&lt;&gt;"",'Info General'!F27:T27,"")</f>
        <v>Reserva de hoteles</v>
      </c>
      <c r="G10" s="143"/>
      <c r="H10" s="143"/>
      <c r="I10" s="143"/>
      <c r="J10" s="143"/>
      <c r="K10" s="143"/>
      <c r="L10" s="143"/>
      <c r="M10" s="143"/>
      <c r="N10" s="143"/>
      <c r="O10" s="143"/>
      <c r="P10" s="143"/>
      <c r="Q10" s="143"/>
      <c r="R10" s="143"/>
      <c r="S10" s="143"/>
      <c r="T10" s="143"/>
      <c r="U10" s="143"/>
      <c r="V10" s="144">
        <v>0.5</v>
      </c>
      <c r="W10" s="144"/>
      <c r="X10" s="144"/>
      <c r="Y10" s="144">
        <v>2</v>
      </c>
      <c r="Z10" s="144"/>
      <c r="AA10" s="144"/>
      <c r="AB10" s="144">
        <v>2.5</v>
      </c>
      <c r="AC10" s="144"/>
      <c r="AD10" s="144"/>
      <c r="AE10" s="144">
        <v>1</v>
      </c>
      <c r="AF10" s="144"/>
      <c r="AG10" s="144"/>
      <c r="AH10" s="146">
        <f>IF(C10&lt;&gt;"",SUM(V10:AG10)+$AF$23,0)</f>
        <v>6</v>
      </c>
      <c r="AI10" s="146"/>
      <c r="AJ10" s="146"/>
      <c r="AK10" s="145">
        <f t="shared" ref="AK10" si="18">IF(BK10&lt;&gt;"",V10+(V10*$BK10),0)</f>
        <v>0.68700000000000006</v>
      </c>
      <c r="AL10" s="145"/>
      <c r="AM10" s="145"/>
      <c r="AN10" s="145">
        <f t="shared" ref="AN10" si="19">IF(BK10&lt;&gt;"",Y10+(Y10*$BK10),0)</f>
        <v>2.7480000000000002</v>
      </c>
      <c r="AO10" s="145"/>
      <c r="AP10" s="145"/>
      <c r="AQ10" s="145">
        <f t="shared" ref="AQ10" si="20">IF(BK10&lt;&gt;"",AB10+(AB10*$BK10),0)</f>
        <v>3.4350000000000001</v>
      </c>
      <c r="AR10" s="145"/>
      <c r="AS10" s="145"/>
      <c r="AT10" s="145">
        <f t="shared" ref="AT10" si="21">IF(BK10&lt;&gt;"",AE10+(AE10*$BK10),0)</f>
        <v>1.3740000000000001</v>
      </c>
      <c r="AU10" s="145"/>
      <c r="AV10" s="145"/>
      <c r="AW10" s="146">
        <f>IF(C10&lt;&gt;"",SUM(AK10:AV10)+$AF$23,0)</f>
        <v>8.2440000000000015</v>
      </c>
      <c r="AX10" s="146"/>
      <c r="AY10" s="146"/>
      <c r="AZ10" s="147">
        <v>44327</v>
      </c>
      <c r="BA10" s="147"/>
      <c r="BB10" s="147"/>
      <c r="BC10" s="148">
        <f>IF(AZ10&gt;0,WORKDAY(AZ10,BL10,Listas!$B$38:$B$54),AZ10)</f>
        <v>44328</v>
      </c>
      <c r="BD10" s="148"/>
      <c r="BE10" s="148"/>
      <c r="BF10" s="148">
        <f>IF(AZ10&gt;0,WORKDAY(AZ10,BM10,Listas!$B$38:$B$54),AZ10)</f>
        <v>44328</v>
      </c>
      <c r="BG10" s="148"/>
      <c r="BH10" s="148"/>
      <c r="BJ10" s="33">
        <f>+SUMIF('Riesgos y PD'!$C$8:$C$6995,'Tiempos Planeados'!C10,'Riesgos y PD'!$AR$8:$AR$6995)</f>
        <v>7</v>
      </c>
      <c r="BK10" s="66">
        <f>IF(C10&lt;&gt;"",SUMIF('Riesgos y PD'!$C$8:$C$6995,'Tiempos Planeados'!C10,'Riesgos y PD'!$AV$8:$AV$6995),"0")</f>
        <v>0.374</v>
      </c>
      <c r="BL10" s="67">
        <f t="shared" ref="BL10" si="22">AH10/$BK$5</f>
        <v>1.2</v>
      </c>
      <c r="BM10" s="67">
        <f t="shared" ref="BM10" si="23">AW10/$BK$5</f>
        <v>1.6488000000000003</v>
      </c>
    </row>
    <row r="11" spans="1:65" ht="3" customHeight="1" x14ac:dyDescent="0.2">
      <c r="A11" s="7" t="s">
        <v>161</v>
      </c>
      <c r="C11" s="177"/>
      <c r="D11" s="178"/>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9"/>
      <c r="BK11" s="75">
        <f>(SUM(BK7:BK7))/COUNT(BK7:BK7)</f>
        <v>0.374</v>
      </c>
      <c r="BM11" s="7"/>
    </row>
    <row r="12" spans="1:65" ht="14.25" x14ac:dyDescent="0.25">
      <c r="C12" s="169" t="s">
        <v>267</v>
      </c>
      <c r="D12" s="170"/>
      <c r="E12" s="170"/>
      <c r="F12" s="170"/>
      <c r="G12" s="170"/>
      <c r="H12" s="170"/>
      <c r="I12" s="170"/>
      <c r="J12" s="170"/>
      <c r="K12" s="170"/>
      <c r="L12" s="170"/>
      <c r="M12" s="170"/>
      <c r="N12" s="170"/>
      <c r="O12" s="170"/>
      <c r="P12" s="170"/>
      <c r="Q12" s="170"/>
      <c r="R12" s="170"/>
      <c r="S12" s="170"/>
      <c r="T12" s="170"/>
      <c r="U12" s="171"/>
      <c r="V12" s="199">
        <f>SUM(V6:V11)</f>
        <v>2</v>
      </c>
      <c r="W12" s="173"/>
      <c r="X12" s="173"/>
      <c r="Y12" s="173">
        <f>SUM(Y6:Y11)</f>
        <v>5.5</v>
      </c>
      <c r="Z12" s="173"/>
      <c r="AA12" s="173"/>
      <c r="AB12" s="173">
        <f>SUM(AB6:AB11)</f>
        <v>7</v>
      </c>
      <c r="AC12" s="173"/>
      <c r="AD12" s="173"/>
      <c r="AE12" s="173">
        <f>SUM(AE6:AE11)</f>
        <v>4</v>
      </c>
      <c r="AF12" s="173"/>
      <c r="AG12" s="173"/>
      <c r="AH12" s="173">
        <f>SUM(AH6:AH11)</f>
        <v>18.5</v>
      </c>
      <c r="AI12" s="173"/>
      <c r="AJ12" s="173"/>
      <c r="AK12" s="173">
        <f>SUM(AK6:AK11)</f>
        <v>2.7480000000000002</v>
      </c>
      <c r="AL12" s="173"/>
      <c r="AM12" s="173"/>
      <c r="AN12" s="173">
        <f>SUM(AN6:AN11)</f>
        <v>7.5570000000000004</v>
      </c>
      <c r="AO12" s="173"/>
      <c r="AP12" s="173"/>
      <c r="AQ12" s="173">
        <f>SUM(AQ6:AQ11)</f>
        <v>9.6180000000000003</v>
      </c>
      <c r="AR12" s="173"/>
      <c r="AS12" s="173"/>
      <c r="AT12" s="173">
        <f>SUM(AT6:AT11)</f>
        <v>5.4960000000000004</v>
      </c>
      <c r="AU12" s="173"/>
      <c r="AV12" s="173"/>
      <c r="AW12" s="173">
        <f>SUM(AW6:AW11)</f>
        <v>25.419000000000004</v>
      </c>
      <c r="AX12" s="173"/>
      <c r="AY12" s="173"/>
      <c r="AZ12" s="198">
        <f>MIN(AZ6:AZ11)</f>
        <v>44321</v>
      </c>
      <c r="BA12" s="198"/>
      <c r="BB12" s="198"/>
      <c r="BC12" s="198">
        <f>MAX(BC6:BC11)</f>
        <v>44328</v>
      </c>
      <c r="BD12" s="198"/>
      <c r="BE12" s="198"/>
      <c r="BF12" s="198">
        <f>MAX(BF6:BF11)</f>
        <v>44328</v>
      </c>
      <c r="BG12" s="198"/>
      <c r="BH12" s="198"/>
    </row>
    <row r="13" spans="1:65" ht="14.25" x14ac:dyDescent="0.25">
      <c r="C13" s="108"/>
      <c r="D13" s="108"/>
      <c r="E13" s="108"/>
      <c r="F13" s="108"/>
      <c r="G13" s="108"/>
      <c r="H13" s="108"/>
      <c r="I13" s="108"/>
      <c r="J13" s="108"/>
      <c r="K13" s="108"/>
      <c r="L13" s="108"/>
      <c r="M13" s="108"/>
      <c r="N13" s="108"/>
      <c r="O13" s="108"/>
      <c r="P13" s="108"/>
      <c r="Q13" s="108"/>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row>
    <row r="14" spans="1:65" ht="14.25" x14ac:dyDescent="0.25">
      <c r="C14" s="174" t="s">
        <v>231</v>
      </c>
      <c r="D14" s="175"/>
      <c r="E14" s="175"/>
      <c r="F14" s="175"/>
      <c r="G14" s="175"/>
      <c r="H14" s="175"/>
      <c r="I14" s="175"/>
      <c r="J14" s="175"/>
      <c r="K14" s="175"/>
      <c r="L14" s="175"/>
      <c r="M14" s="175"/>
      <c r="N14" s="175"/>
      <c r="O14" s="175"/>
      <c r="P14" s="176"/>
      <c r="Q14" s="109"/>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row>
    <row r="15" spans="1:65" ht="14.25" x14ac:dyDescent="0.25">
      <c r="C15" s="108"/>
      <c r="D15" s="108"/>
      <c r="E15" s="108"/>
      <c r="F15" s="108"/>
      <c r="G15" s="108"/>
      <c r="H15" s="108"/>
      <c r="I15" s="108"/>
      <c r="J15" s="108"/>
      <c r="K15" s="108"/>
      <c r="L15" s="108"/>
      <c r="M15" s="108"/>
      <c r="N15" s="108"/>
      <c r="O15" s="108"/>
      <c r="P15" s="108"/>
      <c r="Q15" s="108"/>
      <c r="R15" s="106"/>
      <c r="S15" s="106"/>
      <c r="T15" s="106"/>
      <c r="U15" s="106"/>
      <c r="V15" s="106"/>
      <c r="W15" s="106"/>
      <c r="X15" s="106"/>
      <c r="Y15" s="106"/>
      <c r="Z15" s="106"/>
      <c r="AA15" s="106"/>
      <c r="AB15" s="106"/>
      <c r="AC15" s="106"/>
      <c r="AD15" s="106"/>
      <c r="AE15" s="106"/>
      <c r="AF15" s="106"/>
      <c r="AG15" s="106"/>
      <c r="AH15" s="106"/>
      <c r="AI15" s="106"/>
      <c r="AJ15" s="106"/>
      <c r="AK15" s="106"/>
      <c r="AL15" s="106"/>
      <c r="AM15" s="106"/>
      <c r="AN15" s="106"/>
      <c r="AO15" s="106"/>
      <c r="AP15" s="106"/>
      <c r="AQ15" s="106"/>
      <c r="AR15" s="106"/>
      <c r="AS15" s="106"/>
      <c r="AT15" s="106"/>
      <c r="AU15" s="106"/>
      <c r="AV15" s="106"/>
      <c r="AW15" s="106"/>
      <c r="AX15" s="106"/>
      <c r="AY15" s="106"/>
      <c r="AZ15" s="106"/>
      <c r="BA15" s="106"/>
      <c r="BB15" s="106"/>
      <c r="BC15" s="106"/>
      <c r="BD15" s="106"/>
      <c r="BE15" s="106"/>
      <c r="BF15" s="106"/>
      <c r="BG15" s="106"/>
      <c r="BH15" s="106"/>
    </row>
    <row r="16" spans="1:65" ht="14.25" x14ac:dyDescent="0.25">
      <c r="C16" s="172" t="s">
        <v>233</v>
      </c>
      <c r="D16" s="172"/>
      <c r="E16" s="172"/>
      <c r="F16" s="172" t="s">
        <v>234</v>
      </c>
      <c r="G16" s="172"/>
      <c r="H16" s="172"/>
      <c r="I16" s="172"/>
      <c r="J16" s="172"/>
      <c r="K16" s="172"/>
      <c r="L16" s="172"/>
      <c r="M16" s="172"/>
      <c r="N16" s="172"/>
      <c r="O16" s="172"/>
      <c r="P16" s="172"/>
      <c r="Q16" s="172"/>
      <c r="R16" s="172"/>
      <c r="S16" s="172"/>
      <c r="T16" s="172"/>
      <c r="U16" s="172"/>
      <c r="V16" s="180" t="s">
        <v>236</v>
      </c>
      <c r="W16" s="181"/>
      <c r="X16" s="181"/>
      <c r="Y16" s="181"/>
      <c r="Z16" s="182"/>
      <c r="AA16" s="168" t="s">
        <v>235</v>
      </c>
      <c r="AB16" s="168"/>
      <c r="AC16" s="168"/>
      <c r="AD16" s="168"/>
      <c r="AE16" s="168"/>
      <c r="AF16" s="168" t="s">
        <v>243</v>
      </c>
      <c r="AG16" s="168"/>
      <c r="AH16" s="168"/>
      <c r="AI16" s="168"/>
      <c r="AJ16" s="168"/>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6"/>
      <c r="BG16" s="106"/>
      <c r="BH16" s="106"/>
    </row>
    <row r="17" spans="3:60" ht="12.75" customHeight="1" x14ac:dyDescent="0.25">
      <c r="C17" s="157">
        <v>1</v>
      </c>
      <c r="D17" s="157"/>
      <c r="E17" s="157"/>
      <c r="F17" s="157" t="s">
        <v>237</v>
      </c>
      <c r="G17" s="157"/>
      <c r="H17" s="157"/>
      <c r="I17" s="157"/>
      <c r="J17" s="157"/>
      <c r="K17" s="157"/>
      <c r="L17" s="157"/>
      <c r="M17" s="157"/>
      <c r="N17" s="157"/>
      <c r="O17" s="157"/>
      <c r="P17" s="157"/>
      <c r="Q17" s="157"/>
      <c r="R17" s="157"/>
      <c r="S17" s="157"/>
      <c r="T17" s="157"/>
      <c r="U17" s="157"/>
      <c r="V17" s="159">
        <f>COUNT($C$6:$C$11)</f>
        <v>0</v>
      </c>
      <c r="W17" s="160"/>
      <c r="X17" s="160"/>
      <c r="Y17" s="160"/>
      <c r="Z17" s="161"/>
      <c r="AA17" s="144">
        <v>0</v>
      </c>
      <c r="AB17" s="144"/>
      <c r="AC17" s="144"/>
      <c r="AD17" s="144"/>
      <c r="AE17" s="144"/>
      <c r="AF17" s="146">
        <f>IF($V$17&lt;&gt;0,AA17/$V$17,0)</f>
        <v>0</v>
      </c>
      <c r="AG17" s="146"/>
      <c r="AH17" s="146"/>
      <c r="AI17" s="146"/>
      <c r="AJ17" s="146"/>
      <c r="AK17" s="106"/>
      <c r="AL17" s="106"/>
      <c r="AM17" s="106"/>
      <c r="AN17" s="106"/>
      <c r="AO17" s="106"/>
      <c r="AP17" s="106"/>
      <c r="AQ17" s="106"/>
      <c r="AR17" s="106"/>
      <c r="AS17" s="106"/>
      <c r="AT17" s="106"/>
      <c r="AU17" s="106"/>
      <c r="AV17" s="106"/>
      <c r="AW17" s="106"/>
      <c r="AX17" s="106"/>
      <c r="AY17" s="106"/>
      <c r="AZ17" s="106"/>
      <c r="BA17" s="106"/>
      <c r="BB17" s="106"/>
      <c r="BC17" s="106"/>
      <c r="BD17" s="106"/>
      <c r="BE17" s="106"/>
      <c r="BF17" s="106"/>
      <c r="BG17" s="106"/>
      <c r="BH17" s="106"/>
    </row>
    <row r="18" spans="3:60" ht="12.75" customHeight="1" x14ac:dyDescent="0.25">
      <c r="C18" s="157">
        <v>2</v>
      </c>
      <c r="D18" s="157"/>
      <c r="E18" s="157"/>
      <c r="F18" s="157" t="s">
        <v>238</v>
      </c>
      <c r="G18" s="157"/>
      <c r="H18" s="157"/>
      <c r="I18" s="157"/>
      <c r="J18" s="157"/>
      <c r="K18" s="157"/>
      <c r="L18" s="157"/>
      <c r="M18" s="157"/>
      <c r="N18" s="157"/>
      <c r="O18" s="157"/>
      <c r="P18" s="157"/>
      <c r="Q18" s="157"/>
      <c r="R18" s="157"/>
      <c r="S18" s="157"/>
      <c r="T18" s="157"/>
      <c r="U18" s="157"/>
      <c r="V18" s="162"/>
      <c r="W18" s="163"/>
      <c r="X18" s="163"/>
      <c r="Y18" s="163"/>
      <c r="Z18" s="164"/>
      <c r="AA18" s="144">
        <v>2</v>
      </c>
      <c r="AB18" s="144"/>
      <c r="AC18" s="144"/>
      <c r="AD18" s="144"/>
      <c r="AE18" s="144"/>
      <c r="AF18" s="146">
        <f t="shared" ref="AF18:AF22" si="24">IF($V$17&lt;&gt;0,AA18/$V$17,0)</f>
        <v>0</v>
      </c>
      <c r="AG18" s="146"/>
      <c r="AH18" s="146"/>
      <c r="AI18" s="146"/>
      <c r="AJ18" s="146"/>
      <c r="AK18" s="106"/>
      <c r="AL18" s="106"/>
      <c r="AM18" s="106"/>
      <c r="AN18" s="106"/>
      <c r="AO18" s="106"/>
      <c r="AP18" s="106"/>
      <c r="AQ18" s="106"/>
      <c r="AR18" s="106"/>
      <c r="AS18" s="106"/>
      <c r="AT18" s="106"/>
      <c r="AU18" s="106"/>
      <c r="AV18" s="106"/>
      <c r="AW18" s="106"/>
      <c r="AX18" s="106"/>
      <c r="AY18" s="106"/>
      <c r="AZ18" s="106"/>
      <c r="BA18" s="106"/>
      <c r="BB18" s="106"/>
      <c r="BC18" s="106"/>
      <c r="BD18" s="106"/>
      <c r="BE18" s="106"/>
      <c r="BF18" s="106"/>
      <c r="BG18" s="106"/>
      <c r="BH18" s="106"/>
    </row>
    <row r="19" spans="3:60" ht="12.75" customHeight="1" x14ac:dyDescent="0.25">
      <c r="C19" s="157">
        <v>3</v>
      </c>
      <c r="D19" s="157"/>
      <c r="E19" s="157"/>
      <c r="F19" s="157" t="s">
        <v>239</v>
      </c>
      <c r="G19" s="157"/>
      <c r="H19" s="157"/>
      <c r="I19" s="157"/>
      <c r="J19" s="157"/>
      <c r="K19" s="157"/>
      <c r="L19" s="157"/>
      <c r="M19" s="157"/>
      <c r="N19" s="157"/>
      <c r="O19" s="157"/>
      <c r="P19" s="157"/>
      <c r="Q19" s="157"/>
      <c r="R19" s="157"/>
      <c r="S19" s="157"/>
      <c r="T19" s="157"/>
      <c r="U19" s="157"/>
      <c r="V19" s="162"/>
      <c r="W19" s="163"/>
      <c r="X19" s="163"/>
      <c r="Y19" s="163"/>
      <c r="Z19" s="164"/>
      <c r="AA19" s="144">
        <v>1.5</v>
      </c>
      <c r="AB19" s="144"/>
      <c r="AC19" s="144"/>
      <c r="AD19" s="144"/>
      <c r="AE19" s="144"/>
      <c r="AF19" s="146">
        <f t="shared" si="24"/>
        <v>0</v>
      </c>
      <c r="AG19" s="146"/>
      <c r="AH19" s="146"/>
      <c r="AI19" s="146"/>
      <c r="AJ19" s="146"/>
      <c r="AK19" s="106"/>
      <c r="AL19" s="106"/>
      <c r="AM19" s="106"/>
      <c r="AN19" s="106"/>
      <c r="AO19" s="106"/>
      <c r="AP19" s="106"/>
      <c r="AQ19" s="106"/>
      <c r="AR19" s="106"/>
      <c r="AS19" s="106"/>
      <c r="AT19" s="106"/>
      <c r="AU19" s="106"/>
      <c r="AV19" s="106"/>
      <c r="AW19" s="106"/>
      <c r="AX19" s="106"/>
      <c r="AY19" s="106"/>
      <c r="AZ19" s="106"/>
      <c r="BA19" s="106"/>
      <c r="BB19" s="106"/>
      <c r="BC19" s="106"/>
      <c r="BD19" s="106"/>
      <c r="BE19" s="106"/>
      <c r="BF19" s="106"/>
      <c r="BG19" s="106"/>
      <c r="BH19" s="106"/>
    </row>
    <row r="20" spans="3:60" ht="12.75" customHeight="1" x14ac:dyDescent="0.25">
      <c r="C20" s="157">
        <v>4</v>
      </c>
      <c r="D20" s="157"/>
      <c r="E20" s="157"/>
      <c r="F20" s="157" t="s">
        <v>240</v>
      </c>
      <c r="G20" s="157"/>
      <c r="H20" s="157"/>
      <c r="I20" s="157"/>
      <c r="J20" s="157"/>
      <c r="K20" s="157"/>
      <c r="L20" s="157"/>
      <c r="M20" s="157"/>
      <c r="N20" s="157"/>
      <c r="O20" s="157"/>
      <c r="P20" s="157"/>
      <c r="Q20" s="157"/>
      <c r="R20" s="157"/>
      <c r="S20" s="157"/>
      <c r="T20" s="157"/>
      <c r="U20" s="157"/>
      <c r="V20" s="162"/>
      <c r="W20" s="163"/>
      <c r="X20" s="163"/>
      <c r="Y20" s="163"/>
      <c r="Z20" s="164"/>
      <c r="AA20" s="144">
        <v>2.5</v>
      </c>
      <c r="AB20" s="144"/>
      <c r="AC20" s="144"/>
      <c r="AD20" s="144"/>
      <c r="AE20" s="144"/>
      <c r="AF20" s="146">
        <f t="shared" si="24"/>
        <v>0</v>
      </c>
      <c r="AG20" s="146"/>
      <c r="AH20" s="146"/>
      <c r="AI20" s="146"/>
      <c r="AJ20" s="146"/>
      <c r="AK20" s="106"/>
      <c r="AL20" s="106"/>
      <c r="AM20" s="106"/>
      <c r="AN20" s="106"/>
      <c r="AO20" s="106"/>
      <c r="AP20" s="106"/>
      <c r="AQ20" s="106"/>
      <c r="AR20" s="106"/>
      <c r="AS20" s="106"/>
      <c r="AT20" s="106"/>
      <c r="AU20" s="106"/>
      <c r="AV20" s="106"/>
      <c r="AW20" s="106"/>
      <c r="AX20" s="106"/>
      <c r="AY20" s="106"/>
      <c r="AZ20" s="106"/>
      <c r="BA20" s="106"/>
      <c r="BB20" s="106"/>
      <c r="BC20" s="106"/>
      <c r="BD20" s="106"/>
      <c r="BE20" s="106"/>
      <c r="BF20" s="106"/>
      <c r="BG20" s="106"/>
      <c r="BH20" s="106"/>
    </row>
    <row r="21" spans="3:60" ht="12.75" customHeight="1" x14ac:dyDescent="0.25">
      <c r="C21" s="157">
        <v>5</v>
      </c>
      <c r="D21" s="157"/>
      <c r="E21" s="157"/>
      <c r="F21" s="157" t="s">
        <v>241</v>
      </c>
      <c r="G21" s="157"/>
      <c r="H21" s="157"/>
      <c r="I21" s="157"/>
      <c r="J21" s="157"/>
      <c r="K21" s="157"/>
      <c r="L21" s="157"/>
      <c r="M21" s="157"/>
      <c r="N21" s="157"/>
      <c r="O21" s="157"/>
      <c r="P21" s="157"/>
      <c r="Q21" s="157"/>
      <c r="R21" s="157"/>
      <c r="S21" s="157"/>
      <c r="T21" s="157"/>
      <c r="U21" s="157"/>
      <c r="V21" s="162"/>
      <c r="W21" s="163"/>
      <c r="X21" s="163"/>
      <c r="Y21" s="163"/>
      <c r="Z21" s="164"/>
      <c r="AA21" s="144">
        <v>1.5</v>
      </c>
      <c r="AB21" s="144"/>
      <c r="AC21" s="144"/>
      <c r="AD21" s="144"/>
      <c r="AE21" s="144"/>
      <c r="AF21" s="146">
        <f t="shared" si="24"/>
        <v>0</v>
      </c>
      <c r="AG21" s="146"/>
      <c r="AH21" s="146"/>
      <c r="AI21" s="146"/>
      <c r="AJ21" s="146"/>
      <c r="AK21" s="106"/>
      <c r="AL21" s="106"/>
      <c r="AM21" s="106"/>
      <c r="AN21" s="106"/>
      <c r="AO21" s="106"/>
      <c r="AP21" s="106"/>
      <c r="AQ21" s="106"/>
      <c r="AR21" s="106"/>
      <c r="AS21" s="106"/>
      <c r="AT21" s="106"/>
      <c r="AU21" s="106"/>
      <c r="AV21" s="106"/>
      <c r="AW21" s="106"/>
      <c r="AX21" s="106"/>
      <c r="AY21" s="106"/>
      <c r="AZ21" s="106"/>
      <c r="BA21" s="106"/>
      <c r="BB21" s="106"/>
      <c r="BC21" s="106"/>
      <c r="BD21" s="106"/>
      <c r="BE21" s="106"/>
      <c r="BF21" s="106"/>
      <c r="BG21" s="106"/>
      <c r="BH21" s="106"/>
    </row>
    <row r="22" spans="3:60" ht="12.75" customHeight="1" x14ac:dyDescent="0.25">
      <c r="C22" s="157">
        <v>6</v>
      </c>
      <c r="D22" s="157"/>
      <c r="E22" s="157"/>
      <c r="F22" s="157" t="s">
        <v>242</v>
      </c>
      <c r="G22" s="157"/>
      <c r="H22" s="157"/>
      <c r="I22" s="157"/>
      <c r="J22" s="157"/>
      <c r="K22" s="157"/>
      <c r="L22" s="157"/>
      <c r="M22" s="157"/>
      <c r="N22" s="157"/>
      <c r="O22" s="157"/>
      <c r="P22" s="157"/>
      <c r="Q22" s="157"/>
      <c r="R22" s="157"/>
      <c r="S22" s="157"/>
      <c r="T22" s="157"/>
      <c r="U22" s="157"/>
      <c r="V22" s="165"/>
      <c r="W22" s="166"/>
      <c r="X22" s="166"/>
      <c r="Y22" s="166"/>
      <c r="Z22" s="167"/>
      <c r="AA22" s="144">
        <v>1.5</v>
      </c>
      <c r="AB22" s="144"/>
      <c r="AC22" s="144"/>
      <c r="AD22" s="144"/>
      <c r="AE22" s="144"/>
      <c r="AF22" s="146">
        <f t="shared" si="24"/>
        <v>0</v>
      </c>
      <c r="AG22" s="146"/>
      <c r="AH22" s="146"/>
      <c r="AI22" s="146"/>
      <c r="AJ22" s="146"/>
      <c r="AK22" s="106"/>
      <c r="AL22" s="106"/>
      <c r="AM22" s="106"/>
      <c r="AN22" s="106"/>
      <c r="AO22" s="106"/>
      <c r="AP22" s="106"/>
      <c r="AQ22" s="106"/>
      <c r="AR22" s="106"/>
      <c r="AS22" s="106"/>
      <c r="AT22" s="106"/>
      <c r="AU22" s="106"/>
      <c r="AV22" s="106"/>
      <c r="AW22" s="106"/>
      <c r="AX22" s="106"/>
      <c r="AY22" s="106"/>
      <c r="AZ22" s="106"/>
      <c r="BA22" s="106"/>
      <c r="BB22" s="106"/>
      <c r="BC22" s="106"/>
      <c r="BD22" s="106"/>
      <c r="BE22" s="106"/>
      <c r="BF22" s="106"/>
      <c r="BG22" s="106"/>
      <c r="BH22" s="106"/>
    </row>
    <row r="23" spans="3:60" ht="12.75" customHeight="1" x14ac:dyDescent="0.25">
      <c r="C23" s="151" t="s">
        <v>244</v>
      </c>
      <c r="D23" s="152"/>
      <c r="E23" s="152"/>
      <c r="F23" s="152"/>
      <c r="G23" s="152"/>
      <c r="H23" s="152"/>
      <c r="I23" s="152"/>
      <c r="J23" s="152"/>
      <c r="K23" s="152"/>
      <c r="L23" s="152"/>
      <c r="M23" s="152"/>
      <c r="N23" s="152"/>
      <c r="O23" s="152"/>
      <c r="P23" s="152"/>
      <c r="Q23" s="152"/>
      <c r="R23" s="152"/>
      <c r="S23" s="152"/>
      <c r="T23" s="152"/>
      <c r="U23" s="152"/>
      <c r="V23" s="152"/>
      <c r="W23" s="152"/>
      <c r="X23" s="152"/>
      <c r="Y23" s="152"/>
      <c r="Z23" s="153"/>
      <c r="AA23" s="150">
        <f>SUM(AA17:AE22)</f>
        <v>9</v>
      </c>
      <c r="AB23" s="150"/>
      <c r="AC23" s="150"/>
      <c r="AD23" s="150"/>
      <c r="AE23" s="150"/>
      <c r="AF23" s="154">
        <f>SUM(AF17:AJ22)</f>
        <v>0</v>
      </c>
      <c r="AG23" s="155"/>
      <c r="AH23" s="155"/>
      <c r="AI23" s="155"/>
      <c r="AJ23" s="156"/>
      <c r="AK23" s="106"/>
      <c r="AL23" s="106"/>
      <c r="AM23" s="106"/>
      <c r="AN23" s="106"/>
      <c r="AO23" s="106"/>
      <c r="AP23" s="106"/>
      <c r="AQ23" s="106"/>
      <c r="AR23" s="106"/>
      <c r="AS23" s="106"/>
      <c r="AT23" s="106"/>
      <c r="AU23" s="106"/>
      <c r="AV23" s="106"/>
      <c r="AW23" s="106"/>
      <c r="AX23" s="106"/>
      <c r="AY23" s="106"/>
      <c r="AZ23" s="106"/>
      <c r="BA23" s="106"/>
      <c r="BB23" s="106"/>
      <c r="BC23" s="106"/>
      <c r="BD23" s="106"/>
      <c r="BE23" s="106"/>
      <c r="BF23" s="106"/>
      <c r="BG23" s="106"/>
      <c r="BH23" s="106"/>
    </row>
    <row r="24" spans="3:60" x14ac:dyDescent="0.2">
      <c r="C24" s="4"/>
      <c r="D24" s="4"/>
      <c r="E24" s="4"/>
      <c r="F24" s="4"/>
      <c r="G24" s="4"/>
      <c r="H24" s="4"/>
      <c r="I24" s="4"/>
      <c r="J24" s="4"/>
      <c r="K24" s="4"/>
      <c r="L24" s="4"/>
      <c r="M24" s="4"/>
      <c r="N24" s="4"/>
      <c r="O24" s="4"/>
      <c r="P24" s="4"/>
      <c r="Q24" s="4"/>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row>
    <row r="25" spans="3:60" x14ac:dyDescent="0.2">
      <c r="C25" s="149"/>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c r="AU25" s="149"/>
      <c r="AV25" s="149"/>
      <c r="AW25" s="149"/>
      <c r="AX25" s="149"/>
      <c r="AY25" s="149"/>
      <c r="AZ25" s="149"/>
      <c r="BA25" s="149"/>
      <c r="BB25" s="149"/>
      <c r="BC25" s="149"/>
      <c r="BD25" s="149"/>
      <c r="BE25" s="149"/>
      <c r="BF25" s="149"/>
      <c r="BG25" s="149"/>
      <c r="BH25" s="149"/>
    </row>
    <row r="26" spans="3:60" x14ac:dyDescent="0.2">
      <c r="C26" s="4"/>
      <c r="D26" s="4"/>
      <c r="E26" s="4"/>
      <c r="F26" s="4"/>
      <c r="G26" s="4"/>
      <c r="H26" s="4"/>
      <c r="I26" s="4"/>
      <c r="J26" s="4"/>
      <c r="K26" s="4"/>
      <c r="L26" s="4"/>
      <c r="M26" s="4"/>
      <c r="N26" s="4"/>
      <c r="O26" s="4"/>
      <c r="P26" s="4"/>
      <c r="Q26" s="4"/>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row>
    <row r="27" spans="3:60" x14ac:dyDescent="0.2">
      <c r="C27" s="4"/>
      <c r="D27" s="4"/>
      <c r="E27" s="4"/>
      <c r="F27" s="4"/>
      <c r="G27" s="4"/>
      <c r="H27" s="4"/>
      <c r="I27" s="4"/>
      <c r="J27" s="4"/>
      <c r="K27" s="4"/>
      <c r="L27" s="4"/>
      <c r="M27" s="4"/>
      <c r="N27" s="4"/>
      <c r="O27" s="4"/>
      <c r="P27" s="4"/>
      <c r="Q27" s="4"/>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row>
    <row r="28" spans="3:60" x14ac:dyDescent="0.2">
      <c r="C28" s="4"/>
      <c r="D28" s="4"/>
      <c r="E28" s="4"/>
      <c r="F28" s="4"/>
      <c r="G28" s="4"/>
      <c r="H28" s="4"/>
      <c r="I28" s="4"/>
      <c r="J28" s="4"/>
      <c r="K28" s="4"/>
      <c r="L28" s="4"/>
      <c r="M28" s="4"/>
      <c r="N28" s="4"/>
      <c r="O28" s="4"/>
      <c r="P28" s="4"/>
      <c r="Q28" s="4"/>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row>
    <row r="29" spans="3:60" x14ac:dyDescent="0.2">
      <c r="C29" s="4"/>
      <c r="D29" s="4"/>
      <c r="E29" s="4"/>
      <c r="F29" s="4"/>
      <c r="G29" s="4"/>
      <c r="H29" s="4"/>
      <c r="I29" s="4"/>
      <c r="J29" s="4"/>
      <c r="K29" s="4"/>
      <c r="L29" s="4"/>
      <c r="M29" s="4"/>
      <c r="N29" s="4"/>
      <c r="O29" s="4"/>
      <c r="P29" s="4"/>
      <c r="Q29" s="4"/>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row>
    <row r="30" spans="3:60" ht="12.75" hidden="1" customHeight="1" x14ac:dyDescent="0.2">
      <c r="C30" s="4"/>
      <c r="D30" s="4"/>
      <c r="E30" s="4"/>
      <c r="F30" s="4"/>
      <c r="G30" s="4"/>
      <c r="H30" s="4"/>
      <c r="I30" s="4"/>
      <c r="J30" s="4"/>
      <c r="K30" s="4"/>
      <c r="L30" s="4"/>
      <c r="M30" s="4"/>
      <c r="N30" s="4"/>
      <c r="O30" s="4"/>
      <c r="P30" s="4"/>
      <c r="Q30" s="4"/>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row>
    <row r="31" spans="3:60" x14ac:dyDescent="0.2">
      <c r="C31" s="4"/>
      <c r="D31" s="4"/>
      <c r="E31" s="4"/>
      <c r="F31" s="4"/>
      <c r="G31" s="4"/>
      <c r="H31" s="4"/>
      <c r="I31" s="4"/>
      <c r="J31" s="4"/>
      <c r="K31" s="4"/>
      <c r="L31" s="4"/>
      <c r="M31" s="4"/>
      <c r="N31" s="4"/>
      <c r="O31" s="4"/>
      <c r="P31" s="4"/>
      <c r="Q31" s="4"/>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c r="BA31" s="58"/>
      <c r="BB31" s="1"/>
      <c r="BC31" s="1"/>
      <c r="BD31" s="1"/>
      <c r="BE31" s="1"/>
      <c r="BF31" s="1"/>
      <c r="BG31" s="1"/>
      <c r="BH31" s="1"/>
    </row>
    <row r="32" spans="3:60" x14ac:dyDescent="0.2">
      <c r="C32" s="4"/>
      <c r="D32" s="4"/>
      <c r="E32" s="4"/>
      <c r="F32" s="4"/>
      <c r="G32" s="4"/>
      <c r="H32" s="4"/>
      <c r="I32" s="4"/>
      <c r="J32" s="4"/>
      <c r="K32" s="4"/>
      <c r="L32" s="4"/>
      <c r="M32" s="4"/>
      <c r="N32" s="4"/>
      <c r="O32" s="4"/>
      <c r="P32" s="4"/>
      <c r="Q32" s="4"/>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c r="BA32" s="58"/>
      <c r="BB32" s="1"/>
      <c r="BC32" s="1"/>
      <c r="BD32" s="1"/>
      <c r="BE32" s="1"/>
      <c r="BF32" s="1"/>
      <c r="BG32" s="1"/>
      <c r="BH32" s="1"/>
    </row>
    <row r="33" spans="3:60" x14ac:dyDescent="0.2">
      <c r="C33" s="4"/>
      <c r="D33" s="4"/>
      <c r="E33" s="4"/>
      <c r="F33" s="4"/>
      <c r="G33" s="4"/>
      <c r="H33" s="4"/>
      <c r="I33" s="4"/>
      <c r="J33" s="4"/>
      <c r="K33" s="4"/>
      <c r="L33" s="4"/>
      <c r="M33" s="4"/>
      <c r="N33" s="4"/>
      <c r="O33" s="4"/>
      <c r="P33" s="4"/>
      <c r="Q33" s="4"/>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row>
    <row r="35" spans="3:60" x14ac:dyDescent="0.2">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row>
    <row r="36" spans="3:60" x14ac:dyDescent="0.2">
      <c r="C36" s="18"/>
      <c r="D36" s="7"/>
      <c r="E36" s="7"/>
      <c r="F36" s="7"/>
      <c r="G36" s="7"/>
      <c r="H36" s="7"/>
      <c r="I36" s="7"/>
      <c r="J36" s="7"/>
      <c r="K36" s="7"/>
      <c r="L36" s="7"/>
      <c r="M36" s="7"/>
      <c r="N36" s="7"/>
      <c r="O36" s="7"/>
    </row>
    <row r="37" spans="3:60" x14ac:dyDescent="0.2">
      <c r="AQ37" s="15"/>
      <c r="AR37" s="15"/>
      <c r="AS37" s="15"/>
      <c r="AT37" s="15"/>
      <c r="AU37" s="15"/>
      <c r="AV37" s="15"/>
      <c r="AW37" s="15"/>
      <c r="AX37" s="15"/>
      <c r="AY37" s="15"/>
      <c r="AZ37" s="15"/>
      <c r="BA37" s="15"/>
      <c r="BB37" s="15"/>
      <c r="BC37" s="15"/>
      <c r="BD37" s="15"/>
      <c r="BE37" s="15"/>
      <c r="BF37" s="15"/>
      <c r="BG37" s="15"/>
      <c r="BH37" s="15"/>
    </row>
    <row r="38" spans="3:60" x14ac:dyDescent="0.2">
      <c r="C38" s="15"/>
      <c r="D38" s="15"/>
      <c r="E38" s="15"/>
      <c r="F38" s="15"/>
      <c r="G38" s="15"/>
      <c r="H38" s="15"/>
      <c r="I38" s="15"/>
      <c r="J38" s="15"/>
      <c r="K38" s="15"/>
      <c r="L38" s="15"/>
      <c r="M38" s="15"/>
      <c r="N38" s="15"/>
      <c r="O38" s="15"/>
      <c r="P38" s="15"/>
      <c r="Q38" s="15"/>
      <c r="R38" s="15"/>
      <c r="S38" s="15"/>
      <c r="T38" s="15"/>
      <c r="U38" s="15"/>
      <c r="W38" s="15"/>
      <c r="X38" s="15"/>
      <c r="Y38" s="15"/>
      <c r="Z38" s="15"/>
      <c r="AA38" s="15"/>
      <c r="AB38" s="15"/>
      <c r="AC38" s="15"/>
      <c r="AD38" s="15"/>
      <c r="AE38" s="15"/>
      <c r="AF38" s="15"/>
      <c r="AG38" s="15"/>
      <c r="AH38" s="15"/>
      <c r="AI38" s="15"/>
      <c r="AJ38" s="15"/>
      <c r="AK38" s="15"/>
      <c r="AL38" s="15"/>
      <c r="AM38" s="15"/>
      <c r="AN38" s="15"/>
      <c r="AO38" s="15"/>
      <c r="AQ38" s="15"/>
      <c r="AR38" s="15"/>
      <c r="AS38" s="15"/>
      <c r="AT38" s="15"/>
      <c r="AU38" s="15"/>
      <c r="AV38" s="15"/>
      <c r="AW38" s="15"/>
      <c r="AX38" s="15"/>
      <c r="AY38" s="15"/>
      <c r="AZ38" s="15"/>
      <c r="BA38" s="15"/>
      <c r="BB38" s="15"/>
      <c r="BC38" s="15"/>
      <c r="BD38" s="15"/>
      <c r="BE38" s="15"/>
      <c r="BF38" s="15"/>
      <c r="BG38" s="15"/>
      <c r="BH38" s="15"/>
    </row>
    <row r="39" spans="3:60" x14ac:dyDescent="0.2">
      <c r="C39" s="15"/>
      <c r="D39" s="15"/>
      <c r="E39" s="15"/>
      <c r="F39" s="15"/>
      <c r="G39" s="15"/>
      <c r="H39" s="15"/>
      <c r="I39" s="15"/>
      <c r="J39" s="15"/>
      <c r="K39" s="15"/>
      <c r="L39" s="15"/>
      <c r="M39" s="15"/>
      <c r="N39" s="15"/>
      <c r="O39" s="15"/>
      <c r="P39" s="15"/>
      <c r="Q39" s="15"/>
      <c r="R39" s="15"/>
      <c r="S39" s="17"/>
      <c r="T39" s="17"/>
      <c r="U39" s="17"/>
      <c r="W39" s="15"/>
      <c r="X39" s="15"/>
      <c r="Y39" s="15"/>
      <c r="Z39" s="15"/>
      <c r="AA39" s="15"/>
      <c r="AB39" s="15"/>
      <c r="AC39" s="15"/>
      <c r="AD39" s="15"/>
      <c r="AE39" s="15"/>
      <c r="AF39" s="15"/>
      <c r="AG39" s="15"/>
      <c r="AH39" s="15"/>
      <c r="AI39" s="15"/>
      <c r="AJ39" s="15"/>
      <c r="AK39" s="15"/>
      <c r="AL39" s="15"/>
      <c r="AM39" s="15"/>
      <c r="AN39" s="15"/>
      <c r="AO39" s="15"/>
      <c r="AQ39" s="15"/>
      <c r="AR39" s="15"/>
      <c r="AS39" s="15"/>
      <c r="AT39" s="15"/>
      <c r="AU39" s="15"/>
      <c r="AV39" s="15"/>
      <c r="AW39" s="15"/>
      <c r="AX39" s="15"/>
      <c r="AY39" s="15"/>
      <c r="AZ39" s="15"/>
      <c r="BA39" s="15"/>
      <c r="BB39" s="15"/>
      <c r="BC39" s="15"/>
      <c r="BD39" s="15"/>
      <c r="BE39" s="15"/>
      <c r="BF39" s="15"/>
      <c r="BG39" s="15"/>
      <c r="BH39" s="15"/>
    </row>
    <row r="40" spans="3:60" x14ac:dyDescent="0.2">
      <c r="C40" s="15"/>
      <c r="D40" s="15"/>
      <c r="E40" s="15"/>
      <c r="F40" s="15"/>
      <c r="G40" s="15"/>
      <c r="H40" s="15"/>
      <c r="I40" s="15"/>
      <c r="J40" s="15"/>
      <c r="K40" s="15"/>
      <c r="L40" s="15"/>
      <c r="M40" s="15"/>
      <c r="N40" s="15"/>
      <c r="O40" s="15"/>
      <c r="P40" s="15"/>
      <c r="Q40" s="15"/>
      <c r="R40" s="15"/>
      <c r="S40" s="16"/>
      <c r="T40" s="16"/>
      <c r="U40" s="16"/>
      <c r="W40" s="15"/>
      <c r="X40" s="15"/>
      <c r="Y40" s="15"/>
      <c r="Z40" s="15"/>
      <c r="AA40" s="15"/>
      <c r="AB40" s="15"/>
      <c r="AC40" s="15"/>
      <c r="AD40" s="15"/>
      <c r="AE40" s="15"/>
      <c r="AF40" s="15"/>
      <c r="AG40" s="15"/>
      <c r="AH40" s="15"/>
      <c r="AI40" s="15"/>
      <c r="AJ40" s="15"/>
      <c r="AK40" s="15"/>
      <c r="AL40" s="15"/>
      <c r="AM40" s="15"/>
      <c r="AN40" s="15"/>
      <c r="AO40" s="15"/>
      <c r="AQ40" s="15"/>
      <c r="AR40" s="15"/>
      <c r="AS40" s="15"/>
      <c r="AT40" s="15"/>
      <c r="AU40" s="15"/>
      <c r="AV40" s="15"/>
      <c r="AW40" s="15"/>
      <c r="AX40" s="15"/>
      <c r="AY40" s="15"/>
      <c r="AZ40" s="15"/>
      <c r="BA40" s="15"/>
      <c r="BB40" s="15"/>
      <c r="BC40" s="15"/>
      <c r="BD40" s="15"/>
      <c r="BE40" s="15"/>
      <c r="BF40" s="15"/>
      <c r="BG40" s="15"/>
      <c r="BH40" s="15"/>
    </row>
    <row r="41" spans="3:60" ht="15" x14ac:dyDescent="0.25">
      <c r="C41" s="15"/>
      <c r="D41" s="15"/>
      <c r="E41" s="15"/>
      <c r="F41" s="15"/>
      <c r="G41" s="15"/>
      <c r="H41" s="15"/>
      <c r="I41" s="15"/>
      <c r="J41" s="15"/>
      <c r="K41" s="15"/>
      <c r="L41" s="15"/>
      <c r="M41" s="15"/>
      <c r="N41" s="15"/>
      <c r="O41" s="15"/>
      <c r="P41" s="15"/>
      <c r="Q41" s="15"/>
      <c r="R41" s="15"/>
      <c r="S41" s="59"/>
      <c r="T41" s="16"/>
      <c r="U41" s="16"/>
      <c r="W41" s="15"/>
      <c r="X41" s="15"/>
      <c r="Y41" s="15"/>
      <c r="Z41" s="15"/>
      <c r="AA41" s="15"/>
      <c r="AB41" s="15"/>
      <c r="AC41" s="15"/>
      <c r="AD41" s="15"/>
      <c r="AE41" s="15"/>
      <c r="AF41" s="15"/>
      <c r="AG41" s="15"/>
      <c r="AH41" s="15"/>
      <c r="AI41" s="15"/>
      <c r="AJ41" s="15"/>
      <c r="AK41" s="15"/>
      <c r="AL41" s="15"/>
      <c r="AM41" s="15"/>
      <c r="AN41" s="15"/>
      <c r="AO41" s="15"/>
      <c r="AQ41" s="15"/>
      <c r="AR41" s="15"/>
      <c r="AS41" s="15"/>
      <c r="AT41" s="15"/>
      <c r="AU41" s="15"/>
      <c r="AV41" s="15"/>
      <c r="AW41" s="15"/>
      <c r="AX41" s="15"/>
      <c r="AY41" s="15"/>
      <c r="AZ41" s="15"/>
      <c r="BA41" s="15"/>
      <c r="BB41" s="15"/>
      <c r="BC41" s="15"/>
      <c r="BD41" s="15"/>
      <c r="BE41" s="15"/>
      <c r="BF41" s="15"/>
      <c r="BG41" s="15"/>
      <c r="BH41" s="15"/>
    </row>
    <row r="42" spans="3:60" x14ac:dyDescent="0.2">
      <c r="C42" s="15"/>
      <c r="D42" s="15"/>
      <c r="E42" s="15"/>
      <c r="F42" s="15"/>
      <c r="G42" s="15"/>
      <c r="H42" s="15"/>
      <c r="I42" s="15"/>
      <c r="J42" s="15"/>
      <c r="K42" s="15"/>
      <c r="L42" s="15"/>
      <c r="M42" s="15"/>
      <c r="N42" s="15"/>
      <c r="O42" s="15"/>
      <c r="P42" s="15"/>
      <c r="Q42" s="15"/>
      <c r="R42" s="15"/>
      <c r="S42" s="16"/>
      <c r="T42" s="16"/>
      <c r="U42" s="16"/>
      <c r="W42" s="15"/>
      <c r="X42" s="15"/>
      <c r="Y42" s="15"/>
      <c r="Z42" s="15"/>
      <c r="AA42" s="15"/>
      <c r="AB42" s="15"/>
      <c r="AC42" s="15"/>
      <c r="AD42" s="15"/>
      <c r="AE42" s="15"/>
      <c r="AF42" s="15"/>
      <c r="AG42" s="15"/>
      <c r="AH42" s="15"/>
      <c r="AI42" s="15"/>
      <c r="AJ42" s="15"/>
      <c r="AK42" s="15"/>
      <c r="AL42" s="15"/>
      <c r="AM42" s="15"/>
      <c r="AN42" s="15"/>
      <c r="AO42" s="15"/>
      <c r="AQ42" s="15"/>
      <c r="AR42" s="15"/>
      <c r="AS42" s="15"/>
      <c r="AT42" s="15"/>
      <c r="AU42" s="15"/>
      <c r="AV42" s="15"/>
      <c r="AW42" s="15"/>
      <c r="AX42" s="15"/>
      <c r="AY42" s="15"/>
      <c r="AZ42" s="15"/>
      <c r="BA42" s="15"/>
      <c r="BB42" s="15"/>
      <c r="BC42" s="15"/>
      <c r="BD42" s="15"/>
      <c r="BE42" s="15"/>
      <c r="BF42" s="15"/>
      <c r="BG42" s="15"/>
      <c r="BH42" s="15"/>
    </row>
    <row r="43" spans="3:60" x14ac:dyDescent="0.2">
      <c r="C43" s="15"/>
      <c r="D43" s="15"/>
      <c r="E43" s="15"/>
      <c r="F43" s="15"/>
      <c r="G43" s="15"/>
      <c r="H43" s="15"/>
      <c r="I43" s="15"/>
      <c r="J43" s="15"/>
      <c r="K43" s="15"/>
      <c r="L43" s="15"/>
      <c r="M43" s="15"/>
      <c r="N43" s="15"/>
      <c r="O43" s="15"/>
      <c r="P43" s="15"/>
      <c r="Q43" s="15"/>
      <c r="R43" s="15"/>
      <c r="S43" s="15"/>
      <c r="T43" s="15"/>
      <c r="U43" s="15"/>
      <c r="W43" s="15"/>
      <c r="X43" s="15"/>
      <c r="Y43" s="15"/>
      <c r="Z43" s="15"/>
      <c r="AA43" s="15"/>
      <c r="AB43" s="15"/>
      <c r="AC43" s="15"/>
      <c r="AD43" s="15"/>
      <c r="AE43" s="15"/>
      <c r="AF43" s="15"/>
      <c r="AG43" s="15"/>
      <c r="AH43" s="15"/>
      <c r="AI43" s="15"/>
      <c r="AJ43" s="15"/>
      <c r="AK43" s="15"/>
      <c r="AL43" s="15"/>
      <c r="AM43" s="15"/>
      <c r="AN43" s="15"/>
      <c r="AO43" s="15"/>
      <c r="AQ43" s="15"/>
      <c r="AR43" s="15"/>
      <c r="AS43" s="15"/>
      <c r="AT43" s="15"/>
      <c r="AU43" s="15"/>
      <c r="AV43" s="15"/>
      <c r="AW43" s="15"/>
      <c r="AX43" s="15"/>
      <c r="AY43" s="15"/>
      <c r="AZ43" s="15"/>
      <c r="BA43" s="15"/>
      <c r="BB43" s="15"/>
      <c r="BC43" s="15"/>
      <c r="BD43" s="15"/>
      <c r="BE43" s="15"/>
      <c r="BF43" s="15"/>
      <c r="BG43" s="15"/>
      <c r="BH43" s="15"/>
    </row>
    <row r="44" spans="3:60" x14ac:dyDescent="0.2">
      <c r="C44" s="12"/>
    </row>
    <row r="45" spans="3:60" x14ac:dyDescent="0.2">
      <c r="C45" s="14"/>
      <c r="D45" s="14"/>
      <c r="E45" s="14"/>
      <c r="F45" s="14"/>
      <c r="G45" s="14"/>
      <c r="H45" s="14"/>
      <c r="I45" s="14"/>
      <c r="J45" s="14"/>
      <c r="K45" s="14"/>
      <c r="L45" s="14"/>
      <c r="M45" s="14"/>
      <c r="N45" s="14"/>
      <c r="O45" s="14"/>
      <c r="P45" s="14"/>
    </row>
    <row r="52" spans="45:59" ht="12.75" hidden="1" customHeight="1" x14ac:dyDescent="0.2"/>
    <row r="53" spans="45:59" ht="12.75" hidden="1" customHeight="1" x14ac:dyDescent="0.2"/>
    <row r="54" spans="45:59" x14ac:dyDescent="0.2">
      <c r="AS54" s="13"/>
      <c r="AT54" s="13"/>
      <c r="AU54" s="13"/>
      <c r="AV54" s="13"/>
      <c r="AW54" s="13"/>
      <c r="AX54" s="13"/>
      <c r="AY54" s="13"/>
      <c r="AZ54" s="13"/>
      <c r="BA54" s="13"/>
      <c r="BB54" s="13"/>
      <c r="BC54" s="13"/>
      <c r="BD54" s="13"/>
      <c r="BE54" s="13"/>
      <c r="BF54" s="13"/>
      <c r="BG54" s="13"/>
    </row>
    <row r="55" spans="45:59" x14ac:dyDescent="0.2">
      <c r="AS55" s="13"/>
      <c r="AT55" s="13"/>
      <c r="AU55" s="13"/>
      <c r="AV55" s="13"/>
      <c r="AW55" s="13"/>
      <c r="AX55" s="13"/>
      <c r="AY55" s="13"/>
      <c r="AZ55" s="13"/>
      <c r="BA55" s="13"/>
      <c r="BB55" s="13"/>
      <c r="BC55" s="13"/>
      <c r="BD55" s="13"/>
      <c r="BE55" s="13"/>
      <c r="BF55" s="13"/>
      <c r="BG55" s="13"/>
    </row>
    <row r="56" spans="45:59" x14ac:dyDescent="0.2">
      <c r="AS56" s="13"/>
      <c r="AT56" s="13"/>
      <c r="AU56" s="13"/>
      <c r="AV56" s="13"/>
      <c r="AW56" s="13"/>
      <c r="AX56" s="13"/>
      <c r="AY56" s="13"/>
      <c r="AZ56" s="13"/>
      <c r="BA56" s="13"/>
      <c r="BB56" s="13"/>
      <c r="BC56" s="13"/>
      <c r="BD56" s="13"/>
      <c r="BE56" s="13"/>
      <c r="BF56" s="13"/>
      <c r="BG56" s="13"/>
    </row>
    <row r="57" spans="45:59" x14ac:dyDescent="0.2">
      <c r="AS57" s="13"/>
      <c r="AT57" s="13"/>
      <c r="AU57" s="13"/>
      <c r="AV57" s="13"/>
      <c r="AW57" s="13"/>
      <c r="AX57" s="13"/>
      <c r="AY57" s="13"/>
      <c r="AZ57" s="13"/>
      <c r="BA57" s="13"/>
      <c r="BB57" s="13"/>
      <c r="BC57" s="13"/>
      <c r="BD57" s="13"/>
      <c r="BE57" s="13"/>
      <c r="BF57" s="13"/>
      <c r="BG57" s="13"/>
    </row>
    <row r="58" spans="45:59" x14ac:dyDescent="0.2">
      <c r="AS58" s="13"/>
      <c r="AT58" s="13"/>
      <c r="AU58" s="13"/>
      <c r="AV58" s="13"/>
      <c r="AW58" s="13"/>
      <c r="AX58" s="13"/>
      <c r="AY58" s="13"/>
      <c r="AZ58" s="13"/>
      <c r="BA58" s="13"/>
    </row>
    <row r="59" spans="45:59" ht="12.75" hidden="1" customHeight="1" x14ac:dyDescent="0.2"/>
  </sheetData>
  <sheetProtection algorithmName="SHA-512" hashValue="EpIbICHQslZI8EKO2O5M6+4H8e8DH2c5PXRzoQbr5156Kb5WHU5Y1zJs+ciZ0GLL6L/D27Zp2EkNmIoM1g5NJw==" saltValue="nkukzZyXA9XPF2Vnl/Um+Q==" spinCount="100000" sheet="1" objects="1" scenarios="1" formatCells="0" formatRows="0" selectLockedCells="1" autoFilter="0"/>
  <mergeCells count="131">
    <mergeCell ref="AN10:AP10"/>
    <mergeCell ref="AQ10:AS10"/>
    <mergeCell ref="AT10:AV10"/>
    <mergeCell ref="AW10:AY10"/>
    <mergeCell ref="AZ10:BB10"/>
    <mergeCell ref="BC10:BE10"/>
    <mergeCell ref="BF10:BH10"/>
    <mergeCell ref="BC7:BE7"/>
    <mergeCell ref="AW7:AY7"/>
    <mergeCell ref="AZ7:BB7"/>
    <mergeCell ref="BF8:BH8"/>
    <mergeCell ref="BF9:BH9"/>
    <mergeCell ref="C14:P14"/>
    <mergeCell ref="BC12:BE12"/>
    <mergeCell ref="BF12:BH12"/>
    <mergeCell ref="AK12:AM12"/>
    <mergeCell ref="AN12:AP12"/>
    <mergeCell ref="AQ12:AS12"/>
    <mergeCell ref="V12:X12"/>
    <mergeCell ref="Y12:AA12"/>
    <mergeCell ref="AB12:AD12"/>
    <mergeCell ref="AE12:AG12"/>
    <mergeCell ref="AT12:AV12"/>
    <mergeCell ref="AW12:AY12"/>
    <mergeCell ref="AZ12:BB12"/>
    <mergeCell ref="C10:E10"/>
    <mergeCell ref="F10:U10"/>
    <mergeCell ref="V10:X10"/>
    <mergeCell ref="Y10:AA10"/>
    <mergeCell ref="AB10:AD10"/>
    <mergeCell ref="AE10:AG10"/>
    <mergeCell ref="AH10:AJ10"/>
    <mergeCell ref="AK10:AM10"/>
    <mergeCell ref="BF6:BH6"/>
    <mergeCell ref="V6:X6"/>
    <mergeCell ref="Y6:AA6"/>
    <mergeCell ref="AB6:AD6"/>
    <mergeCell ref="AE6:AG6"/>
    <mergeCell ref="AH6:AJ6"/>
    <mergeCell ref="AK6:AM6"/>
    <mergeCell ref="AN6:AP6"/>
    <mergeCell ref="BC6:BE6"/>
    <mergeCell ref="AW6:AY6"/>
    <mergeCell ref="AT7:AV7"/>
    <mergeCell ref="AH8:AJ8"/>
    <mergeCell ref="AK8:AM8"/>
    <mergeCell ref="AN8:AP8"/>
    <mergeCell ref="AQ8:AS8"/>
    <mergeCell ref="C8:E8"/>
    <mergeCell ref="AA17:AE17"/>
    <mergeCell ref="AF17:AJ17"/>
    <mergeCell ref="C18:E18"/>
    <mergeCell ref="F18:U18"/>
    <mergeCell ref="C17:E17"/>
    <mergeCell ref="C16:E16"/>
    <mergeCell ref="F16:U16"/>
    <mergeCell ref="AH12:AJ12"/>
    <mergeCell ref="C2:P2"/>
    <mergeCell ref="C11:BH11"/>
    <mergeCell ref="AF16:AJ16"/>
    <mergeCell ref="V16:Z16"/>
    <mergeCell ref="BF7:BH7"/>
    <mergeCell ref="C5:E6"/>
    <mergeCell ref="F5:U6"/>
    <mergeCell ref="V5:AJ5"/>
    <mergeCell ref="AK5:AY5"/>
    <mergeCell ref="AZ4:BH5"/>
    <mergeCell ref="AN7:AP7"/>
    <mergeCell ref="AQ7:AS7"/>
    <mergeCell ref="V4:AY4"/>
    <mergeCell ref="C4:U4"/>
    <mergeCell ref="AZ6:BB6"/>
    <mergeCell ref="V7:X7"/>
    <mergeCell ref="AF19:AJ19"/>
    <mergeCell ref="C19:E19"/>
    <mergeCell ref="AF20:AJ20"/>
    <mergeCell ref="AQ6:AS6"/>
    <mergeCell ref="AT6:AV6"/>
    <mergeCell ref="C20:E20"/>
    <mergeCell ref="F20:U20"/>
    <mergeCell ref="AA20:AE20"/>
    <mergeCell ref="V17:Z22"/>
    <mergeCell ref="F19:U19"/>
    <mergeCell ref="AA19:AE19"/>
    <mergeCell ref="AA16:AE16"/>
    <mergeCell ref="C12:U12"/>
    <mergeCell ref="AA18:AE18"/>
    <mergeCell ref="AF18:AJ18"/>
    <mergeCell ref="C7:E7"/>
    <mergeCell ref="F7:U7"/>
    <mergeCell ref="AK7:AM7"/>
    <mergeCell ref="Y7:AA7"/>
    <mergeCell ref="AB7:AD7"/>
    <mergeCell ref="AE7:AG7"/>
    <mergeCell ref="AH7:AJ7"/>
    <mergeCell ref="F17:U17"/>
    <mergeCell ref="AE8:AG8"/>
    <mergeCell ref="C25:BH25"/>
    <mergeCell ref="AA23:AE23"/>
    <mergeCell ref="C23:Z23"/>
    <mergeCell ref="AF23:AJ23"/>
    <mergeCell ref="C21:E21"/>
    <mergeCell ref="F21:U21"/>
    <mergeCell ref="AA21:AE21"/>
    <mergeCell ref="AF21:AJ21"/>
    <mergeCell ref="C22:E22"/>
    <mergeCell ref="F22:U22"/>
    <mergeCell ref="AA22:AE22"/>
    <mergeCell ref="AF22:AJ22"/>
    <mergeCell ref="AT8:AV8"/>
    <mergeCell ref="AW8:AY8"/>
    <mergeCell ref="AZ8:BB8"/>
    <mergeCell ref="BC8:BE8"/>
    <mergeCell ref="AT9:AV9"/>
    <mergeCell ref="AW9:AY9"/>
    <mergeCell ref="AZ9:BB9"/>
    <mergeCell ref="BC9:BE9"/>
    <mergeCell ref="AE9:AG9"/>
    <mergeCell ref="AH9:AJ9"/>
    <mergeCell ref="AK9:AM9"/>
    <mergeCell ref="AN9:AP9"/>
    <mergeCell ref="AQ9:AS9"/>
    <mergeCell ref="C9:E9"/>
    <mergeCell ref="F9:U9"/>
    <mergeCell ref="V9:X9"/>
    <mergeCell ref="Y9:AA9"/>
    <mergeCell ref="AB9:AD9"/>
    <mergeCell ref="F8:U8"/>
    <mergeCell ref="V8:X8"/>
    <mergeCell ref="Y8:AA8"/>
    <mergeCell ref="AB8:AD8"/>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9" tint="0.79998168889431442"/>
  </sheetPr>
  <dimension ref="A5:CO32"/>
  <sheetViews>
    <sheetView workbookViewId="0">
      <selection activeCell="B6" sqref="B6:D6"/>
    </sheetView>
  </sheetViews>
  <sheetFormatPr baseColWidth="10" defaultColWidth="2.7109375" defaultRowHeight="15" x14ac:dyDescent="0.25"/>
  <cols>
    <col min="1" max="59" width="2.7109375" style="1"/>
    <col min="60" max="60" width="5.7109375" style="1" hidden="1" customWidth="1"/>
    <col min="61" max="61" width="3.28515625" style="1" hidden="1" customWidth="1"/>
    <col min="62" max="62" width="3.140625" style="1" hidden="1" customWidth="1"/>
    <col min="63" max="63" width="7.42578125" style="1" hidden="1" customWidth="1"/>
    <col min="64" max="64" width="2.85546875" style="1" hidden="1" customWidth="1"/>
    <col min="66" max="66" width="2.85546875" style="65" customWidth="1"/>
    <col min="67" max="16384" width="2.7109375" style="1"/>
  </cols>
  <sheetData>
    <row r="5" spans="1:93" ht="15" customHeight="1" x14ac:dyDescent="0.2">
      <c r="B5" s="203" t="s">
        <v>269</v>
      </c>
      <c r="C5" s="203"/>
      <c r="D5" s="203"/>
      <c r="E5" s="204" t="s">
        <v>270</v>
      </c>
      <c r="F5" s="204"/>
      <c r="G5" s="204"/>
      <c r="H5" s="204"/>
      <c r="I5" s="204"/>
      <c r="J5" s="204"/>
      <c r="K5" s="204"/>
      <c r="L5" s="204"/>
      <c r="M5" s="204"/>
      <c r="N5" s="204"/>
      <c r="O5" s="204"/>
      <c r="P5" s="204"/>
      <c r="Q5" s="204"/>
      <c r="R5" s="204"/>
      <c r="S5" s="203" t="s">
        <v>271</v>
      </c>
      <c r="T5" s="203"/>
      <c r="U5" s="203"/>
      <c r="V5" s="203"/>
      <c r="W5" s="203"/>
      <c r="X5" s="203"/>
      <c r="Y5" s="203"/>
      <c r="Z5" s="203"/>
      <c r="AA5" s="203"/>
      <c r="AB5" s="203"/>
      <c r="AC5" s="203"/>
      <c r="AD5" s="203"/>
      <c r="AE5" s="203"/>
      <c r="AF5" s="203"/>
      <c r="AG5" s="203"/>
      <c r="AH5" s="203" t="s">
        <v>69</v>
      </c>
      <c r="AI5" s="203"/>
      <c r="AJ5" s="203"/>
      <c r="AK5" s="203"/>
      <c r="AL5" s="203"/>
      <c r="AM5" s="203" t="s">
        <v>272</v>
      </c>
      <c r="AN5" s="203"/>
      <c r="AO5" s="203"/>
      <c r="AP5" s="203"/>
      <c r="AQ5" s="203"/>
      <c r="AR5" s="203" t="s">
        <v>273</v>
      </c>
      <c r="AS5" s="203"/>
      <c r="AT5" s="203"/>
      <c r="AU5" s="203"/>
      <c r="AV5" s="203"/>
      <c r="AW5" s="203" t="s">
        <v>274</v>
      </c>
      <c r="AX5" s="203"/>
      <c r="AY5" s="203"/>
      <c r="AZ5" s="203"/>
      <c r="BA5" s="203"/>
      <c r="BB5" s="203"/>
      <c r="BC5" s="203"/>
      <c r="BD5" s="203"/>
      <c r="BE5" s="203"/>
      <c r="BF5" s="203"/>
      <c r="BG5" s="203" t="s">
        <v>95</v>
      </c>
      <c r="BH5" s="203"/>
      <c r="BI5" s="203"/>
      <c r="BJ5" s="203"/>
      <c r="BK5" s="203"/>
      <c r="BL5" s="203"/>
      <c r="BM5" s="203"/>
      <c r="BN5" s="203"/>
      <c r="BO5" s="203"/>
      <c r="BP5" s="203"/>
      <c r="BQ5" s="203" t="s">
        <v>275</v>
      </c>
      <c r="BR5" s="203"/>
      <c r="BS5" s="203"/>
      <c r="BT5" s="203"/>
      <c r="BU5" s="203"/>
      <c r="BV5" s="203"/>
      <c r="BW5" s="203"/>
      <c r="BX5" s="203"/>
      <c r="BY5" s="203"/>
      <c r="BZ5" s="203"/>
      <c r="CA5" s="203"/>
      <c r="CB5" s="203" t="s">
        <v>88</v>
      </c>
      <c r="CC5" s="203"/>
      <c r="CD5" s="203"/>
      <c r="CE5" s="203"/>
      <c r="CF5" s="203"/>
    </row>
    <row r="6" spans="1:93" ht="12.75" x14ac:dyDescent="0.2">
      <c r="B6" s="201"/>
      <c r="C6" s="201"/>
      <c r="D6" s="201"/>
      <c r="E6" s="202"/>
      <c r="F6" s="202"/>
      <c r="G6" s="202"/>
      <c r="H6" s="202"/>
      <c r="I6" s="202"/>
      <c r="J6" s="202"/>
      <c r="K6" s="202"/>
      <c r="L6" s="202"/>
      <c r="M6" s="202"/>
      <c r="N6" s="202"/>
      <c r="O6" s="202"/>
      <c r="P6" s="202"/>
      <c r="Q6" s="202"/>
      <c r="R6" s="202"/>
      <c r="S6" s="201"/>
      <c r="T6" s="201"/>
      <c r="U6" s="201"/>
      <c r="V6" s="201"/>
      <c r="W6" s="201"/>
      <c r="X6" s="201"/>
      <c r="Y6" s="201"/>
      <c r="Z6" s="201"/>
      <c r="AA6" s="201"/>
      <c r="AB6" s="201"/>
      <c r="AC6" s="201"/>
      <c r="AD6" s="201"/>
      <c r="AE6" s="201"/>
      <c r="AF6" s="201"/>
      <c r="AG6" s="201"/>
      <c r="AH6" s="201"/>
      <c r="AI6" s="201"/>
      <c r="AJ6" s="201"/>
      <c r="AK6" s="201"/>
      <c r="AL6" s="201"/>
      <c r="AM6" s="201"/>
      <c r="AN6" s="201"/>
      <c r="AO6" s="201"/>
      <c r="AP6" s="201"/>
      <c r="AQ6" s="201"/>
      <c r="AR6" s="201">
        <f>$AH$6*$AM$6</f>
        <v>0</v>
      </c>
      <c r="AS6" s="201"/>
      <c r="AT6" s="201"/>
      <c r="AU6" s="201"/>
      <c r="AV6" s="201"/>
      <c r="AW6" s="201"/>
      <c r="AX6" s="201"/>
      <c r="AY6" s="201"/>
      <c r="AZ6" s="201"/>
      <c r="BA6" s="201"/>
      <c r="BB6" s="201"/>
      <c r="BC6" s="201"/>
      <c r="BD6" s="201"/>
      <c r="BE6" s="201"/>
      <c r="BF6" s="201"/>
      <c r="BG6" s="201"/>
      <c r="BH6" s="201"/>
      <c r="BI6" s="201"/>
      <c r="BJ6" s="201"/>
      <c r="BK6" s="201"/>
      <c r="BL6" s="201"/>
      <c r="BM6" s="201"/>
      <c r="BN6" s="201"/>
      <c r="BO6" s="201"/>
      <c r="BP6" s="201"/>
      <c r="BQ6" s="201"/>
      <c r="BR6" s="201"/>
      <c r="BS6" s="201"/>
      <c r="BT6" s="201"/>
      <c r="BU6" s="201"/>
      <c r="BV6" s="201"/>
      <c r="BW6" s="201"/>
      <c r="BX6" s="201"/>
      <c r="BY6" s="201"/>
      <c r="BZ6" s="201"/>
      <c r="CA6" s="201"/>
      <c r="CB6" s="201"/>
      <c r="CC6" s="201"/>
      <c r="CD6" s="201"/>
      <c r="CE6" s="201"/>
      <c r="CF6" s="201"/>
    </row>
    <row r="7" spans="1:93" ht="15" customHeight="1" x14ac:dyDescent="0.2">
      <c r="B7" s="200"/>
      <c r="C7" s="200"/>
      <c r="D7" s="200"/>
      <c r="E7" s="200"/>
      <c r="F7" s="200"/>
      <c r="G7" s="200"/>
      <c r="H7" s="200"/>
      <c r="I7" s="200"/>
      <c r="J7" s="200"/>
      <c r="K7" s="200"/>
      <c r="L7" s="200"/>
      <c r="M7" s="200"/>
      <c r="N7" s="200"/>
      <c r="O7" s="200"/>
      <c r="P7" s="200"/>
      <c r="Q7" s="200"/>
      <c r="R7" s="200"/>
      <c r="S7" s="200"/>
      <c r="T7" s="200"/>
      <c r="U7" s="200"/>
      <c r="V7" s="200"/>
      <c r="W7" s="200"/>
      <c r="X7" s="200"/>
      <c r="Y7" s="200"/>
      <c r="Z7" s="200"/>
      <c r="AA7" s="200"/>
      <c r="AB7" s="200"/>
      <c r="AC7" s="200"/>
      <c r="AD7" s="200"/>
      <c r="AE7" s="200"/>
      <c r="AF7" s="200"/>
      <c r="AG7" s="200"/>
      <c r="AH7" s="200"/>
      <c r="AI7" s="200"/>
      <c r="AJ7" s="200"/>
      <c r="AK7" s="200"/>
      <c r="AL7" s="200"/>
      <c r="AM7" s="200"/>
      <c r="AN7" s="200"/>
      <c r="AO7" s="200"/>
      <c r="AP7" s="200"/>
      <c r="AQ7" s="200"/>
      <c r="AR7" s="200"/>
      <c r="AS7" s="200"/>
      <c r="AT7" s="200"/>
      <c r="AU7" s="200"/>
      <c r="AV7" s="200"/>
      <c r="AW7" s="200"/>
      <c r="AX7" s="200"/>
      <c r="AY7" s="200"/>
      <c r="AZ7" s="200"/>
      <c r="BA7" s="200"/>
      <c r="BB7" s="200"/>
      <c r="BC7" s="200"/>
      <c r="BD7" s="200"/>
      <c r="BE7" s="200"/>
      <c r="BF7" s="200"/>
      <c r="BG7" s="200"/>
      <c r="BH7" s="200"/>
      <c r="BI7" s="200"/>
      <c r="BJ7" s="200"/>
      <c r="BK7" s="200"/>
      <c r="BL7" s="200"/>
      <c r="BM7" s="200"/>
      <c r="BN7" s="200"/>
      <c r="BO7" s="200"/>
      <c r="BP7" s="200"/>
      <c r="BQ7" s="200"/>
      <c r="BR7" s="200"/>
      <c r="BS7" s="200"/>
      <c r="BT7" s="200"/>
      <c r="BU7" s="200"/>
      <c r="BV7" s="200"/>
      <c r="BW7" s="200"/>
      <c r="BX7" s="200"/>
      <c r="BY7" s="200"/>
      <c r="BZ7" s="200"/>
      <c r="CA7" s="200"/>
      <c r="CB7" s="200"/>
      <c r="CC7" s="200"/>
      <c r="CD7" s="200"/>
      <c r="CE7" s="200"/>
      <c r="CF7" s="200"/>
      <c r="CG7" s="22"/>
      <c r="CH7" s="22"/>
      <c r="CI7" s="22"/>
      <c r="CJ7" s="22"/>
      <c r="CK7" s="22"/>
      <c r="CL7" s="22"/>
      <c r="CM7" s="22"/>
      <c r="CN7" s="22"/>
      <c r="CO7" s="22"/>
    </row>
    <row r="8" spans="1:93" x14ac:dyDescent="0.25">
      <c r="A8" s="7"/>
      <c r="C8" s="34"/>
      <c r="D8" s="34"/>
      <c r="E8" s="34"/>
      <c r="F8" s="34"/>
      <c r="G8" s="34"/>
      <c r="H8" s="34"/>
      <c r="I8" s="34"/>
      <c r="J8" s="34"/>
      <c r="K8" s="34"/>
      <c r="L8" s="34"/>
      <c r="M8" s="34"/>
      <c r="N8" s="34"/>
      <c r="O8" s="34"/>
      <c r="P8" s="34"/>
      <c r="Q8" s="34"/>
      <c r="R8" s="34"/>
      <c r="S8" s="34"/>
      <c r="T8" s="34"/>
      <c r="U8" s="34"/>
      <c r="V8" s="34"/>
      <c r="W8" s="34"/>
      <c r="X8" s="34"/>
      <c r="Y8" s="34"/>
      <c r="Z8" s="34"/>
      <c r="AA8" s="34"/>
      <c r="AB8" s="34"/>
      <c r="AC8" s="34"/>
      <c r="AD8" s="34"/>
      <c r="AE8" s="34"/>
      <c r="AF8" s="34"/>
      <c r="AG8" s="34"/>
      <c r="AH8" s="34"/>
      <c r="AI8" s="34"/>
      <c r="AJ8" s="90"/>
      <c r="AK8" s="90"/>
      <c r="AL8" s="90"/>
      <c r="AM8" s="90"/>
      <c r="AN8" s="90"/>
      <c r="AO8" s="90"/>
      <c r="AP8" s="90"/>
      <c r="AQ8" s="90"/>
      <c r="AR8" s="90"/>
      <c r="AS8" s="90"/>
      <c r="AT8" s="90"/>
      <c r="AU8" s="90"/>
      <c r="AV8" s="34"/>
      <c r="AW8" s="34"/>
      <c r="AX8" s="34"/>
      <c r="AY8" s="34"/>
      <c r="AZ8" s="34"/>
      <c r="BA8" s="34"/>
      <c r="BB8" s="34"/>
      <c r="BC8" s="34"/>
      <c r="BD8" s="34"/>
      <c r="BE8" s="34"/>
      <c r="BF8" s="34"/>
      <c r="BG8" s="14"/>
      <c r="BH8" s="77"/>
      <c r="BI8" s="77"/>
      <c r="BJ8" s="77"/>
      <c r="BK8" s="77"/>
      <c r="BL8" s="77"/>
      <c r="BM8" s="76"/>
      <c r="BN8" s="77"/>
      <c r="BO8" s="77"/>
      <c r="BP8" s="77"/>
      <c r="BQ8" s="77"/>
      <c r="BR8" s="77"/>
      <c r="BS8" s="77"/>
      <c r="BT8" s="78"/>
      <c r="BU8" s="22"/>
      <c r="BV8" s="22"/>
      <c r="BW8" s="22"/>
      <c r="BX8" s="22"/>
      <c r="BY8" s="22"/>
      <c r="BZ8" s="22"/>
      <c r="CA8" s="22"/>
      <c r="CB8" s="22"/>
      <c r="CC8" s="22"/>
      <c r="CD8" s="22"/>
      <c r="CE8" s="22"/>
      <c r="CF8" s="22"/>
      <c r="CG8" s="22"/>
      <c r="CH8" s="22"/>
      <c r="CI8" s="22"/>
      <c r="CJ8" s="22"/>
      <c r="CK8" s="22"/>
      <c r="CL8" s="22"/>
      <c r="CM8" s="22"/>
      <c r="CN8" s="22"/>
      <c r="CO8" s="22"/>
    </row>
    <row r="9" spans="1:93" x14ac:dyDescent="0.25">
      <c r="A9" s="7"/>
      <c r="C9" s="34"/>
      <c r="D9" s="34"/>
      <c r="E9" s="34"/>
      <c r="F9" s="4"/>
      <c r="G9" s="4"/>
      <c r="H9" s="4"/>
      <c r="I9" s="88"/>
      <c r="J9" s="88"/>
      <c r="K9" s="88"/>
      <c r="L9" s="4"/>
      <c r="M9" s="4"/>
      <c r="N9" s="4"/>
      <c r="O9" s="4"/>
      <c r="P9" s="4"/>
      <c r="Q9" s="4"/>
      <c r="R9" s="89"/>
      <c r="S9" s="89"/>
      <c r="T9" s="89"/>
      <c r="X9" s="89"/>
      <c r="Y9" s="89"/>
      <c r="Z9" s="89"/>
      <c r="AA9" s="89"/>
      <c r="AB9" s="89"/>
      <c r="AC9" s="89"/>
      <c r="AD9" s="89"/>
      <c r="AE9" s="89"/>
      <c r="AF9" s="89"/>
      <c r="AG9" s="89"/>
      <c r="AH9" s="89"/>
      <c r="AI9" s="89"/>
      <c r="AV9" s="87"/>
      <c r="AW9" s="87"/>
      <c r="AX9" s="87"/>
      <c r="AY9" s="87"/>
      <c r="AZ9" s="87"/>
      <c r="BG9" s="11"/>
      <c r="BH9" s="65"/>
      <c r="BI9" s="65"/>
      <c r="BJ9" s="65"/>
      <c r="BK9" s="66"/>
      <c r="BL9" s="65"/>
      <c r="BM9" s="76"/>
      <c r="BO9" s="65"/>
      <c r="BP9" s="65"/>
      <c r="BQ9" s="65"/>
      <c r="BR9" s="65"/>
      <c r="BS9" s="65"/>
      <c r="BT9" s="65"/>
      <c r="BX9" s="4"/>
      <c r="BY9" s="4"/>
    </row>
    <row r="10" spans="1:93" x14ac:dyDescent="0.25">
      <c r="A10" s="7"/>
      <c r="C10" s="34"/>
      <c r="D10" s="34"/>
      <c r="E10" s="34"/>
      <c r="F10" s="4"/>
      <c r="G10" s="4"/>
      <c r="H10" s="4"/>
      <c r="I10" s="88"/>
      <c r="J10" s="88"/>
      <c r="K10" s="88"/>
      <c r="L10" s="4"/>
      <c r="M10" s="4"/>
      <c r="N10" s="4"/>
      <c r="O10" s="4"/>
      <c r="P10" s="4"/>
      <c r="Q10" s="4"/>
      <c r="R10" s="89"/>
      <c r="S10" s="89"/>
      <c r="T10" s="89"/>
      <c r="X10" s="89"/>
      <c r="Y10" s="89"/>
      <c r="Z10" s="89"/>
      <c r="AA10" s="89"/>
      <c r="AB10" s="89"/>
      <c r="AC10" s="89"/>
      <c r="AD10" s="89"/>
      <c r="AE10" s="89"/>
      <c r="AF10" s="89"/>
      <c r="AG10" s="89"/>
      <c r="AH10" s="89"/>
      <c r="AI10" s="89"/>
      <c r="AV10" s="87"/>
      <c r="AW10" s="87"/>
      <c r="AX10" s="87"/>
      <c r="AY10" s="87"/>
      <c r="AZ10" s="87"/>
      <c r="BG10" s="11"/>
      <c r="BH10" s="65"/>
      <c r="BI10" s="65"/>
      <c r="BJ10" s="65"/>
      <c r="BK10" s="66"/>
      <c r="BL10" s="65"/>
      <c r="BM10" s="76"/>
      <c r="BO10" s="65"/>
      <c r="BP10" s="65"/>
      <c r="BQ10" s="65"/>
      <c r="BR10" s="65"/>
      <c r="BS10" s="65"/>
      <c r="BT10" s="65"/>
      <c r="BX10" s="4"/>
      <c r="BY10" s="4"/>
    </row>
    <row r="11" spans="1:93" x14ac:dyDescent="0.25">
      <c r="A11" s="7"/>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G11" s="11"/>
      <c r="BH11" s="65"/>
      <c r="BI11" s="65"/>
      <c r="BJ11" s="65"/>
      <c r="BL11" s="65"/>
      <c r="BM11" s="76"/>
      <c r="BO11" s="65"/>
      <c r="BP11" s="65"/>
      <c r="BQ11" s="65"/>
      <c r="BR11" s="65"/>
      <c r="BS11" s="65"/>
      <c r="BT11" s="65"/>
      <c r="BX11" s="4"/>
      <c r="BY11" s="4"/>
    </row>
    <row r="12" spans="1:93" x14ac:dyDescent="0.25">
      <c r="C12" s="4"/>
      <c r="D12" s="4"/>
      <c r="E12" s="4"/>
      <c r="F12" s="4"/>
      <c r="G12" s="4"/>
      <c r="H12" s="4"/>
      <c r="I12" s="4"/>
      <c r="J12" s="4"/>
      <c r="K12" s="4"/>
      <c r="L12" s="4"/>
      <c r="M12" s="4"/>
      <c r="N12" s="4"/>
      <c r="O12" s="4"/>
      <c r="P12" s="4"/>
      <c r="Q12" s="4"/>
      <c r="R12" s="4"/>
      <c r="S12" s="9"/>
      <c r="T12" s="9"/>
      <c r="U12" s="9"/>
      <c r="W12" s="4"/>
      <c r="X12" s="4"/>
      <c r="Y12" s="4"/>
      <c r="Z12" s="4"/>
      <c r="AA12" s="4"/>
      <c r="AB12" s="4"/>
      <c r="AC12" s="4"/>
      <c r="AD12" s="4"/>
      <c r="AE12" s="4"/>
      <c r="AF12" s="4"/>
      <c r="AG12" s="4"/>
      <c r="AH12" s="4"/>
      <c r="AI12" s="4"/>
      <c r="AJ12" s="4"/>
      <c r="AK12" s="4"/>
      <c r="AL12" s="4"/>
      <c r="AM12" s="4"/>
      <c r="AN12" s="4"/>
      <c r="AO12" s="4"/>
      <c r="BG12" s="11"/>
      <c r="BH12" s="79"/>
      <c r="BI12" s="79"/>
      <c r="BJ12" s="79"/>
      <c r="BK12" s="75"/>
      <c r="BL12" s="79"/>
      <c r="BM12" s="76"/>
      <c r="BN12" s="79"/>
      <c r="BO12" s="79"/>
      <c r="BP12" s="79"/>
      <c r="BQ12" s="79"/>
      <c r="BR12" s="79"/>
      <c r="BS12" s="79"/>
      <c r="BT12" s="79"/>
      <c r="BU12" s="4"/>
      <c r="BV12" s="4"/>
      <c r="BW12" s="4"/>
      <c r="BX12" s="4"/>
      <c r="BY12" s="4"/>
      <c r="BZ12" s="4"/>
      <c r="CA12" s="4"/>
      <c r="CB12" s="4"/>
    </row>
    <row r="13" spans="1:93" x14ac:dyDescent="0.25">
      <c r="C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14"/>
      <c r="BH13" s="14"/>
      <c r="BI13" s="14"/>
      <c r="BJ13" s="14"/>
      <c r="BK13" s="80"/>
      <c r="BL13" s="14"/>
      <c r="BM13" s="57"/>
      <c r="BN13" s="77"/>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row>
    <row r="14" spans="1:93" x14ac:dyDescent="0.25">
      <c r="C14" s="4"/>
      <c r="D14" s="4"/>
      <c r="E14" s="4"/>
      <c r="F14" s="4"/>
      <c r="G14" s="4"/>
      <c r="H14" s="4"/>
      <c r="I14" s="4"/>
      <c r="J14" s="4"/>
      <c r="K14" s="4"/>
      <c r="L14" s="4"/>
      <c r="M14" s="4"/>
      <c r="N14" s="4"/>
      <c r="O14" s="4"/>
      <c r="P14" s="4"/>
      <c r="Q14" s="4"/>
      <c r="R14" s="4"/>
      <c r="S14" s="8"/>
      <c r="T14" s="8"/>
      <c r="U14" s="8"/>
      <c r="W14" s="4"/>
      <c r="X14" s="4"/>
      <c r="Y14" s="4"/>
      <c r="Z14" s="4"/>
      <c r="AA14" s="4"/>
      <c r="AB14" s="4"/>
      <c r="AC14" s="4"/>
      <c r="AD14" s="4"/>
      <c r="AE14" s="4"/>
      <c r="AF14" s="4"/>
      <c r="AG14" s="4"/>
      <c r="AH14" s="4"/>
      <c r="AI14" s="4"/>
      <c r="AJ14" s="4"/>
      <c r="AK14" s="4"/>
      <c r="AL14" s="4"/>
      <c r="AM14" s="4"/>
      <c r="AN14" s="4"/>
      <c r="AO14" s="4"/>
      <c r="BH14" s="4"/>
      <c r="BI14" s="4"/>
      <c r="BJ14" s="4"/>
      <c r="BK14" s="4"/>
      <c r="BL14" s="4"/>
      <c r="BN14" s="79"/>
      <c r="BO14" s="4"/>
      <c r="BP14" s="4"/>
      <c r="BQ14" s="4"/>
      <c r="BR14" s="4"/>
      <c r="BS14" s="4"/>
      <c r="BT14" s="4"/>
      <c r="BU14" s="4"/>
      <c r="BV14" s="4"/>
      <c r="BW14" s="4"/>
      <c r="BX14" s="4"/>
      <c r="BY14" s="4"/>
      <c r="BZ14" s="4"/>
      <c r="CA14" s="4"/>
      <c r="CB14" s="4"/>
    </row>
    <row r="15" spans="1:93" x14ac:dyDescent="0.25">
      <c r="C15" s="4"/>
      <c r="D15" s="4"/>
      <c r="E15" s="4"/>
      <c r="F15" s="4"/>
      <c r="G15" s="4"/>
      <c r="H15" s="4"/>
      <c r="I15" s="4"/>
      <c r="J15" s="4"/>
      <c r="K15" s="4"/>
      <c r="L15" s="4"/>
      <c r="M15" s="4"/>
      <c r="N15" s="4"/>
      <c r="O15" s="4"/>
      <c r="P15" s="4"/>
      <c r="Q15" s="4"/>
      <c r="R15" s="4"/>
      <c r="S15" s="8"/>
      <c r="T15" s="8"/>
      <c r="U15" s="8"/>
      <c r="W15" s="4"/>
      <c r="X15" s="4"/>
      <c r="Y15" s="4"/>
      <c r="Z15" s="4"/>
      <c r="AA15" s="4"/>
      <c r="AB15" s="4"/>
      <c r="AC15" s="4"/>
      <c r="AD15" s="4"/>
      <c r="AE15" s="4"/>
      <c r="AF15" s="4"/>
      <c r="AG15" s="4"/>
      <c r="AH15" s="4"/>
      <c r="AI15" s="4"/>
      <c r="AJ15" s="4"/>
      <c r="AK15" s="4"/>
      <c r="AL15" s="4"/>
      <c r="AM15" s="4"/>
      <c r="AN15" s="4"/>
      <c r="AO15" s="4"/>
      <c r="BH15" s="4"/>
      <c r="BI15" s="4"/>
      <c r="BJ15" s="4"/>
      <c r="BK15" s="4"/>
      <c r="BL15" s="4"/>
      <c r="BN15" s="79"/>
      <c r="BO15" s="4"/>
      <c r="BP15" s="4"/>
      <c r="BQ15" s="4"/>
      <c r="BR15" s="4"/>
      <c r="BS15" s="4"/>
      <c r="BT15" s="4"/>
      <c r="BU15" s="4"/>
      <c r="BV15" s="4"/>
      <c r="BW15" s="4"/>
      <c r="BX15" s="4"/>
      <c r="BY15" s="4"/>
      <c r="BZ15" s="4"/>
      <c r="CA15" s="4"/>
      <c r="CB15" s="4"/>
    </row>
    <row r="16" spans="1:93" x14ac:dyDescent="0.25">
      <c r="C16" s="4"/>
      <c r="D16" s="4"/>
      <c r="E16" s="4"/>
      <c r="F16" s="4"/>
      <c r="G16" s="4"/>
      <c r="H16" s="4"/>
      <c r="I16" s="4"/>
      <c r="J16" s="4"/>
      <c r="K16" s="4"/>
      <c r="L16" s="4"/>
      <c r="M16" s="4"/>
      <c r="N16" s="4"/>
      <c r="O16" s="4"/>
      <c r="P16" s="4"/>
      <c r="Q16" s="4"/>
      <c r="R16" s="4"/>
      <c r="S16" s="4"/>
      <c r="T16" s="4"/>
      <c r="U16" s="4"/>
      <c r="W16" s="4"/>
      <c r="X16" s="4"/>
      <c r="Y16" s="4"/>
      <c r="Z16" s="4"/>
      <c r="AA16" s="4"/>
      <c r="AB16" s="4"/>
      <c r="AC16" s="4"/>
      <c r="AD16" s="4"/>
      <c r="AE16" s="4"/>
      <c r="AF16" s="4"/>
      <c r="AG16" s="4"/>
      <c r="AH16" s="4"/>
      <c r="AI16" s="4"/>
      <c r="AJ16" s="4"/>
      <c r="AK16" s="4"/>
      <c r="AL16" s="4"/>
      <c r="AM16" s="4"/>
      <c r="AN16" s="4"/>
      <c r="AO16" s="4"/>
      <c r="BH16" s="4"/>
      <c r="BI16" s="4"/>
      <c r="BJ16" s="4"/>
      <c r="BK16" s="4"/>
      <c r="BL16" s="4"/>
      <c r="BN16" s="79"/>
      <c r="BO16" s="4"/>
      <c r="BP16" s="4"/>
      <c r="BQ16" s="4"/>
      <c r="BR16" s="4"/>
      <c r="BS16" s="4"/>
      <c r="BT16" s="4"/>
      <c r="BU16" s="4"/>
      <c r="BV16" s="4"/>
      <c r="BW16" s="4"/>
      <c r="BX16" s="4"/>
      <c r="BY16" s="4"/>
      <c r="BZ16" s="4"/>
      <c r="CA16" s="4"/>
      <c r="CB16" s="4"/>
    </row>
    <row r="17" spans="3:77" x14ac:dyDescent="0.25">
      <c r="C17" s="3"/>
    </row>
    <row r="18" spans="3:77" x14ac:dyDescent="0.25">
      <c r="C18" s="20"/>
      <c r="D18" s="20"/>
      <c r="E18" s="20"/>
      <c r="F18" s="20"/>
      <c r="G18" s="20"/>
      <c r="H18" s="20"/>
      <c r="I18" s="20"/>
      <c r="J18" s="20"/>
      <c r="K18" s="20"/>
      <c r="L18" s="20"/>
      <c r="M18" s="20"/>
      <c r="N18" s="20"/>
      <c r="O18" s="20"/>
      <c r="P18" s="20"/>
    </row>
    <row r="19" spans="3:77" x14ac:dyDescent="0.25">
      <c r="C19" s="20"/>
      <c r="D19" s="20"/>
      <c r="E19" s="20"/>
      <c r="F19" s="20"/>
      <c r="G19" s="20"/>
      <c r="H19" s="20"/>
      <c r="I19" s="20"/>
      <c r="J19" s="20"/>
      <c r="K19" s="20"/>
      <c r="L19" s="20"/>
      <c r="M19" s="20"/>
      <c r="N19" s="20"/>
      <c r="O19" s="20"/>
      <c r="P19" s="20"/>
    </row>
    <row r="25" spans="3:77" ht="12.75" hidden="1" customHeight="1" x14ac:dyDescent="0.25"/>
    <row r="26" spans="3:77" ht="12.75" hidden="1" customHeight="1" x14ac:dyDescent="0.25"/>
    <row r="27" spans="3:77" x14ac:dyDescent="0.25">
      <c r="BI27" s="5"/>
      <c r="BJ27" s="5"/>
      <c r="BK27" s="5"/>
      <c r="BL27" s="5"/>
      <c r="BN27" s="83"/>
      <c r="BO27" s="5"/>
      <c r="BP27" s="5"/>
      <c r="BQ27" s="5"/>
      <c r="BR27" s="5"/>
      <c r="BS27" s="5"/>
      <c r="BT27" s="5"/>
      <c r="BU27" s="5"/>
      <c r="BV27" s="5"/>
      <c r="BW27" s="5"/>
      <c r="BX27" s="5"/>
      <c r="BY27" s="5"/>
    </row>
    <row r="28" spans="3:77" x14ac:dyDescent="0.25">
      <c r="BI28" s="5"/>
      <c r="BJ28" s="5"/>
      <c r="BK28" s="5"/>
      <c r="BL28" s="5"/>
      <c r="BN28" s="83"/>
      <c r="BO28" s="5"/>
      <c r="BP28" s="5"/>
      <c r="BQ28" s="5"/>
      <c r="BR28" s="5"/>
      <c r="BS28" s="5"/>
      <c r="BT28" s="5"/>
      <c r="BU28" s="5"/>
      <c r="BV28" s="5"/>
      <c r="BW28" s="5"/>
      <c r="BX28" s="5"/>
      <c r="BY28" s="5"/>
    </row>
    <row r="29" spans="3:77" x14ac:dyDescent="0.25">
      <c r="BI29" s="5"/>
      <c r="BJ29" s="5"/>
      <c r="BK29" s="5"/>
      <c r="BL29" s="5"/>
      <c r="BN29" s="83"/>
      <c r="BO29" s="5"/>
      <c r="BP29" s="5"/>
      <c r="BQ29" s="5"/>
      <c r="BR29" s="5"/>
      <c r="BS29" s="5"/>
      <c r="BT29" s="5"/>
      <c r="BU29" s="5"/>
      <c r="BV29" s="5"/>
      <c r="BW29" s="5"/>
      <c r="BX29" s="5"/>
      <c r="BY29" s="5"/>
    </row>
    <row r="30" spans="3:77" x14ac:dyDescent="0.25">
      <c r="BI30" s="5"/>
      <c r="BJ30" s="5"/>
      <c r="BK30" s="5"/>
      <c r="BL30" s="5"/>
      <c r="BN30" s="83"/>
      <c r="BO30" s="5"/>
      <c r="BP30" s="5"/>
      <c r="BQ30" s="5"/>
      <c r="BR30" s="5"/>
      <c r="BS30" s="5"/>
      <c r="BT30" s="5"/>
      <c r="BU30" s="5"/>
      <c r="BV30" s="5"/>
      <c r="BW30" s="5"/>
      <c r="BX30" s="5"/>
      <c r="BY30" s="5"/>
    </row>
    <row r="31" spans="3:77" x14ac:dyDescent="0.25">
      <c r="BI31" s="5"/>
      <c r="BJ31" s="5"/>
      <c r="BK31" s="5"/>
      <c r="BL31" s="5"/>
      <c r="BN31" s="83"/>
      <c r="BO31" s="5"/>
      <c r="BP31" s="5"/>
      <c r="BQ31" s="5"/>
      <c r="BR31" s="5"/>
      <c r="BS31" s="5"/>
    </row>
    <row r="32" spans="3:77" ht="12.75" hidden="1" customHeight="1" x14ac:dyDescent="0.25"/>
  </sheetData>
  <mergeCells count="21">
    <mergeCell ref="AW5:BF5"/>
    <mergeCell ref="BG5:BP5"/>
    <mergeCell ref="BQ5:CA5"/>
    <mergeCell ref="CB5:CF5"/>
    <mergeCell ref="B5:D5"/>
    <mergeCell ref="E5:R5"/>
    <mergeCell ref="S5:AG5"/>
    <mergeCell ref="AH5:AL5"/>
    <mergeCell ref="AM5:AQ5"/>
    <mergeCell ref="AR5:AV5"/>
    <mergeCell ref="B7:CF7"/>
    <mergeCell ref="AR6:AV6"/>
    <mergeCell ref="AW6:BF6"/>
    <mergeCell ref="BG6:BP6"/>
    <mergeCell ref="BQ6:CA6"/>
    <mergeCell ref="CB6:CF6"/>
    <mergeCell ref="B6:D6"/>
    <mergeCell ref="E6:R6"/>
    <mergeCell ref="S6:AG6"/>
    <mergeCell ref="AH6:AL6"/>
    <mergeCell ref="AM6:AQ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B2:BM54"/>
  <sheetViews>
    <sheetView workbookViewId="0">
      <selection activeCell="B27" sqref="B27:P27"/>
    </sheetView>
  </sheetViews>
  <sheetFormatPr baseColWidth="10" defaultColWidth="2.7109375" defaultRowHeight="12.75" x14ac:dyDescent="0.2"/>
  <cols>
    <col min="1" max="16" width="2.7109375" style="11"/>
    <col min="17" max="17" width="4.42578125" style="11" bestFit="1" customWidth="1"/>
    <col min="18" max="18" width="5.42578125" style="11" bestFit="1" customWidth="1"/>
    <col min="19" max="34" width="2.7109375" style="11"/>
    <col min="35" max="35" width="3" style="11" bestFit="1" customWidth="1"/>
    <col min="36" max="36" width="2.7109375" style="11"/>
    <col min="37" max="37" width="4.42578125" style="11" bestFit="1" customWidth="1"/>
    <col min="38" max="57" width="2.7109375" style="11"/>
    <col min="58" max="58" width="2.85546875" style="11" customWidth="1"/>
    <col min="59" max="16384" width="2.7109375" style="11"/>
  </cols>
  <sheetData>
    <row r="2" spans="2:65" x14ac:dyDescent="0.2">
      <c r="B2" s="218" t="s">
        <v>157</v>
      </c>
      <c r="C2" s="218"/>
      <c r="D2" s="218"/>
      <c r="E2" s="218"/>
      <c r="F2" s="218"/>
      <c r="G2" s="218"/>
      <c r="H2" s="218"/>
      <c r="I2" s="218"/>
      <c r="J2" s="218"/>
      <c r="K2" s="218"/>
      <c r="L2" s="218"/>
      <c r="M2" s="218"/>
      <c r="N2" s="218"/>
    </row>
    <row r="4" spans="2:65" x14ac:dyDescent="0.2">
      <c r="B4" s="207" t="s">
        <v>124</v>
      </c>
      <c r="C4" s="207"/>
      <c r="D4" s="207"/>
      <c r="E4" s="19"/>
      <c r="F4" s="202" t="s">
        <v>127</v>
      </c>
      <c r="G4" s="202"/>
      <c r="H4" s="202"/>
      <c r="I4" s="202"/>
      <c r="J4" s="202"/>
      <c r="K4" s="21"/>
      <c r="L4" s="207" t="s">
        <v>137</v>
      </c>
      <c r="M4" s="207"/>
      <c r="N4" s="207"/>
      <c r="P4" s="207" t="s">
        <v>139</v>
      </c>
      <c r="Q4" s="207"/>
      <c r="R4" s="207"/>
      <c r="S4" s="207"/>
      <c r="T4" s="207"/>
      <c r="V4" s="202" t="s">
        <v>143</v>
      </c>
      <c r="W4" s="202"/>
      <c r="X4" s="202"/>
      <c r="Y4" s="202"/>
      <c r="Z4" s="202"/>
      <c r="AK4" s="30"/>
    </row>
    <row r="5" spans="2:65" x14ac:dyDescent="0.2">
      <c r="B5" s="206" t="s">
        <v>125</v>
      </c>
      <c r="C5" s="206"/>
      <c r="D5" s="206"/>
      <c r="E5" s="19"/>
      <c r="F5" s="206" t="s">
        <v>128</v>
      </c>
      <c r="G5" s="206"/>
      <c r="H5" s="206"/>
      <c r="I5" s="206"/>
      <c r="J5" s="206"/>
      <c r="K5" s="19"/>
      <c r="L5" s="206" t="s">
        <v>134</v>
      </c>
      <c r="M5" s="206"/>
      <c r="N5" s="206"/>
      <c r="P5" s="206" t="s">
        <v>140</v>
      </c>
      <c r="Q5" s="206"/>
      <c r="R5" s="206"/>
      <c r="S5" s="206"/>
      <c r="T5" s="206"/>
      <c r="V5" s="214" t="s">
        <v>144</v>
      </c>
      <c r="W5" s="214"/>
      <c r="X5" s="214"/>
      <c r="Y5" s="214"/>
      <c r="Z5" s="214"/>
    </row>
    <row r="6" spans="2:65" x14ac:dyDescent="0.2">
      <c r="B6" s="206" t="s">
        <v>126</v>
      </c>
      <c r="C6" s="206"/>
      <c r="D6" s="206"/>
      <c r="E6" s="19"/>
      <c r="F6" s="206" t="s">
        <v>120</v>
      </c>
      <c r="G6" s="206"/>
      <c r="H6" s="206"/>
      <c r="I6" s="206"/>
      <c r="J6" s="206"/>
      <c r="K6" s="19"/>
      <c r="L6" s="206" t="s">
        <v>135</v>
      </c>
      <c r="M6" s="206"/>
      <c r="N6" s="206"/>
      <c r="P6" s="206" t="s">
        <v>142</v>
      </c>
      <c r="Q6" s="206"/>
      <c r="R6" s="206"/>
      <c r="S6" s="206"/>
      <c r="T6" s="206"/>
      <c r="V6" s="214" t="s">
        <v>145</v>
      </c>
      <c r="W6" s="214"/>
      <c r="X6" s="214"/>
      <c r="Y6" s="214"/>
      <c r="Z6" s="214"/>
      <c r="AT6" s="15"/>
      <c r="AU6" s="15"/>
      <c r="AV6" s="15"/>
      <c r="AW6" s="15"/>
      <c r="AX6" s="15"/>
      <c r="AY6" s="15"/>
      <c r="AZ6" s="15"/>
      <c r="BA6" s="15"/>
      <c r="BB6" s="15"/>
      <c r="BC6" s="15"/>
      <c r="BD6" s="15"/>
      <c r="BE6" s="15"/>
      <c r="BF6" s="15"/>
      <c r="BG6" s="15"/>
      <c r="BH6" s="15"/>
      <c r="BI6" s="15"/>
      <c r="BJ6" s="15"/>
      <c r="BK6" s="15"/>
      <c r="BL6" s="15"/>
      <c r="BM6" s="15"/>
    </row>
    <row r="7" spans="2:65" x14ac:dyDescent="0.2">
      <c r="B7" s="206" t="s">
        <v>122</v>
      </c>
      <c r="C7" s="206"/>
      <c r="D7" s="206"/>
      <c r="E7" s="19"/>
      <c r="F7" s="206" t="s">
        <v>129</v>
      </c>
      <c r="G7" s="206"/>
      <c r="H7" s="206"/>
      <c r="I7" s="206"/>
      <c r="J7" s="206"/>
      <c r="K7" s="19"/>
      <c r="L7" s="206" t="s">
        <v>138</v>
      </c>
      <c r="M7" s="206"/>
      <c r="N7" s="206"/>
      <c r="P7" s="206" t="s">
        <v>121</v>
      </c>
      <c r="Q7" s="206"/>
      <c r="R7" s="206"/>
      <c r="S7" s="206"/>
      <c r="T7" s="206"/>
      <c r="U7" s="15"/>
      <c r="V7" s="214" t="s">
        <v>146</v>
      </c>
      <c r="W7" s="214"/>
      <c r="X7" s="214"/>
      <c r="Y7" s="214"/>
      <c r="Z7" s="214"/>
      <c r="AA7" s="15"/>
      <c r="AB7" s="15"/>
      <c r="AC7" s="15"/>
      <c r="AD7" s="15"/>
      <c r="AE7" s="15"/>
      <c r="AF7" s="15"/>
      <c r="AG7" s="15"/>
      <c r="AH7" s="15"/>
      <c r="AI7" s="15"/>
      <c r="AJ7" s="15"/>
      <c r="AK7" s="15"/>
      <c r="AL7" s="15"/>
      <c r="AM7" s="15"/>
      <c r="AN7" s="15"/>
      <c r="AO7" s="15"/>
      <c r="AP7" s="15"/>
      <c r="AQ7" s="15"/>
      <c r="AR7" s="15"/>
      <c r="AT7" s="15"/>
      <c r="AU7" s="15"/>
      <c r="AV7" s="15"/>
      <c r="AW7" s="15"/>
      <c r="AX7" s="15"/>
      <c r="AY7" s="15"/>
      <c r="AZ7" s="15"/>
      <c r="BA7" s="15"/>
      <c r="BB7" s="15"/>
      <c r="BC7" s="15"/>
      <c r="BD7" s="15"/>
      <c r="BE7" s="15"/>
      <c r="BF7" s="15"/>
      <c r="BG7" s="15"/>
      <c r="BH7" s="15"/>
      <c r="BI7" s="15"/>
      <c r="BJ7" s="15"/>
      <c r="BK7" s="15"/>
      <c r="BL7" s="15"/>
      <c r="BM7" s="15"/>
    </row>
    <row r="8" spans="2:65" x14ac:dyDescent="0.2">
      <c r="B8" s="19"/>
      <c r="C8" s="19"/>
      <c r="D8" s="19"/>
      <c r="E8" s="19"/>
      <c r="F8" s="19"/>
      <c r="G8" s="19"/>
      <c r="H8" s="19"/>
      <c r="I8" s="19"/>
      <c r="J8" s="19"/>
      <c r="K8" s="19"/>
      <c r="L8" s="206" t="s">
        <v>30</v>
      </c>
      <c r="M8" s="206"/>
      <c r="N8" s="206"/>
      <c r="P8" s="206" t="s">
        <v>262</v>
      </c>
      <c r="Q8" s="206"/>
      <c r="R8" s="206"/>
      <c r="S8" s="206"/>
      <c r="T8" s="206"/>
      <c r="U8" s="15"/>
      <c r="V8" s="214" t="s">
        <v>147</v>
      </c>
      <c r="W8" s="214"/>
      <c r="X8" s="214"/>
      <c r="Y8" s="214"/>
      <c r="Z8" s="214"/>
      <c r="AA8" s="15"/>
      <c r="AB8" s="15"/>
      <c r="AC8" s="15"/>
      <c r="AD8" s="15"/>
      <c r="AE8" s="15"/>
      <c r="AF8" s="15"/>
      <c r="AG8" s="15"/>
      <c r="AH8" s="15"/>
      <c r="AI8" s="15"/>
      <c r="AJ8" s="15"/>
      <c r="AK8" s="15"/>
      <c r="AL8" s="15"/>
      <c r="AM8" s="15"/>
      <c r="AN8" s="15"/>
      <c r="AO8" s="15"/>
      <c r="AP8" s="15"/>
      <c r="AQ8" s="15"/>
      <c r="AR8" s="15"/>
      <c r="AT8" s="15"/>
      <c r="AU8" s="15"/>
      <c r="AV8" s="15"/>
      <c r="AW8" s="15"/>
      <c r="AX8" s="15"/>
      <c r="AY8" s="15"/>
      <c r="AZ8" s="15"/>
      <c r="BA8" s="15"/>
      <c r="BB8" s="15"/>
      <c r="BC8" s="15"/>
      <c r="BD8" s="15"/>
      <c r="BE8" s="15"/>
      <c r="BF8" s="15"/>
      <c r="BG8" s="15"/>
      <c r="BH8" s="15"/>
      <c r="BI8" s="15"/>
      <c r="BJ8" s="15"/>
      <c r="BK8" s="15"/>
      <c r="BL8" s="15"/>
      <c r="BM8" s="15"/>
    </row>
    <row r="9" spans="2:65" x14ac:dyDescent="0.2">
      <c r="C9" s="15"/>
      <c r="D9" s="15"/>
      <c r="E9" s="15"/>
      <c r="L9" s="15"/>
      <c r="M9" s="15"/>
      <c r="N9" s="15"/>
      <c r="O9" s="15"/>
      <c r="P9" s="206" t="s">
        <v>141</v>
      </c>
      <c r="Q9" s="206"/>
      <c r="R9" s="206"/>
      <c r="S9" s="206"/>
      <c r="T9" s="206"/>
      <c r="U9" s="15"/>
      <c r="V9" s="214" t="s">
        <v>122</v>
      </c>
      <c r="W9" s="214"/>
      <c r="X9" s="214"/>
      <c r="Y9" s="214"/>
      <c r="Z9" s="214"/>
      <c r="AA9" s="15"/>
      <c r="AB9" s="15"/>
      <c r="AC9" s="15"/>
      <c r="AD9" s="15"/>
      <c r="AE9" s="15"/>
      <c r="AF9" s="15"/>
      <c r="AG9" s="15"/>
      <c r="AH9" s="15"/>
      <c r="AI9" s="15"/>
      <c r="AJ9" s="15"/>
      <c r="AK9" s="15"/>
      <c r="AL9" s="15"/>
      <c r="AM9" s="15"/>
      <c r="AN9" s="15"/>
      <c r="AO9" s="15"/>
      <c r="AP9" s="15"/>
      <c r="AQ9" s="15"/>
      <c r="AR9" s="15"/>
      <c r="AT9" s="15"/>
      <c r="AU9" s="15"/>
      <c r="AV9" s="15"/>
      <c r="AW9" s="15"/>
      <c r="AX9" s="15"/>
      <c r="AY9" s="15"/>
      <c r="AZ9" s="15"/>
      <c r="BA9" s="15"/>
      <c r="BB9" s="15"/>
      <c r="BC9" s="15"/>
      <c r="BD9" s="15"/>
      <c r="BE9" s="15"/>
      <c r="BF9" s="15"/>
      <c r="BG9" s="15"/>
      <c r="BH9" s="15"/>
      <c r="BI9" s="15"/>
      <c r="BJ9" s="15"/>
      <c r="BK9" s="15"/>
      <c r="BL9" s="15"/>
      <c r="BM9" s="15"/>
    </row>
    <row r="10" spans="2:65" x14ac:dyDescent="0.2">
      <c r="E10" s="19"/>
      <c r="Q10" s="15"/>
      <c r="R10" s="15"/>
      <c r="S10" s="15"/>
      <c r="T10" s="15"/>
      <c r="U10" s="15"/>
      <c r="V10" s="16"/>
      <c r="W10" s="16"/>
      <c r="X10" s="16"/>
      <c r="Z10" s="15"/>
      <c r="AA10" s="15"/>
      <c r="AB10" s="15"/>
      <c r="AC10" s="15"/>
      <c r="AD10" s="15"/>
      <c r="AE10" s="15"/>
      <c r="AF10" s="15"/>
      <c r="AG10" s="15"/>
      <c r="AH10" s="15"/>
      <c r="AI10" s="15"/>
      <c r="AJ10" s="15"/>
      <c r="AK10" s="15"/>
      <c r="AL10" s="15"/>
      <c r="AM10" s="15"/>
      <c r="AN10" s="15"/>
      <c r="AO10" s="15"/>
      <c r="AP10" s="15"/>
      <c r="AQ10" s="15"/>
      <c r="AR10" s="15"/>
      <c r="AT10" s="15"/>
      <c r="AU10" s="15"/>
      <c r="AV10" s="15"/>
      <c r="AW10" s="15"/>
      <c r="AX10" s="15"/>
      <c r="AY10" s="15"/>
      <c r="AZ10" s="15"/>
      <c r="BA10" s="15"/>
      <c r="BB10" s="15"/>
      <c r="BC10" s="15"/>
      <c r="BD10" s="15"/>
      <c r="BE10" s="15"/>
      <c r="BF10" s="15"/>
      <c r="BG10" s="15"/>
      <c r="BH10" s="15"/>
      <c r="BI10" s="15"/>
      <c r="BJ10" s="15"/>
      <c r="BK10" s="15"/>
      <c r="BL10" s="15"/>
      <c r="BM10" s="15"/>
    </row>
    <row r="11" spans="2:65" x14ac:dyDescent="0.2">
      <c r="B11" s="218" t="s">
        <v>158</v>
      </c>
      <c r="C11" s="218"/>
      <c r="D11" s="218"/>
      <c r="E11" s="218"/>
      <c r="F11" s="218"/>
      <c r="G11" s="218"/>
      <c r="H11" s="218"/>
      <c r="I11" s="218"/>
      <c r="J11" s="218"/>
      <c r="K11" s="218"/>
      <c r="L11" s="218"/>
      <c r="M11" s="218"/>
      <c r="N11" s="218"/>
      <c r="Q11" s="15"/>
      <c r="R11" s="15"/>
      <c r="S11" s="15"/>
    </row>
    <row r="13" spans="2:65" x14ac:dyDescent="0.2">
      <c r="B13" s="207" t="s">
        <v>148</v>
      </c>
      <c r="C13" s="207"/>
      <c r="D13" s="207"/>
      <c r="E13" s="207"/>
      <c r="F13" s="207"/>
      <c r="G13" s="207"/>
      <c r="H13" s="207"/>
      <c r="I13" s="207"/>
      <c r="J13" s="207"/>
      <c r="K13" s="207"/>
      <c r="L13" s="207"/>
      <c r="M13" s="207"/>
      <c r="N13" s="207"/>
      <c r="O13" s="207"/>
      <c r="P13" s="207"/>
      <c r="Q13" s="24" t="s">
        <v>181</v>
      </c>
      <c r="R13" s="24" t="s">
        <v>173</v>
      </c>
      <c r="T13" s="207" t="s">
        <v>69</v>
      </c>
      <c r="U13" s="207"/>
      <c r="V13" s="207"/>
      <c r="W13" s="207"/>
      <c r="X13" s="207"/>
      <c r="Y13" s="26" t="s">
        <v>174</v>
      </c>
      <c r="AR13" s="26"/>
      <c r="AS13" s="26"/>
      <c r="AT13" s="26"/>
      <c r="AU13" s="26"/>
      <c r="AV13" s="26"/>
      <c r="AW13" s="26"/>
      <c r="AX13" s="26"/>
      <c r="AY13" s="26"/>
      <c r="AZ13" s="26"/>
      <c r="BA13" s="26"/>
      <c r="BB13" s="26"/>
      <c r="BC13" s="26"/>
      <c r="BD13" s="26"/>
      <c r="BE13" s="26"/>
      <c r="BF13" s="26"/>
    </row>
    <row r="14" spans="2:65" x14ac:dyDescent="0.2">
      <c r="B14" s="206" t="s">
        <v>151</v>
      </c>
      <c r="C14" s="206"/>
      <c r="D14" s="206"/>
      <c r="E14" s="206"/>
      <c r="F14" s="206"/>
      <c r="G14" s="206"/>
      <c r="H14" s="206"/>
      <c r="I14" s="206"/>
      <c r="J14" s="206"/>
      <c r="K14" s="206"/>
      <c r="L14" s="206"/>
      <c r="M14" s="206"/>
      <c r="N14" s="206"/>
      <c r="O14" s="206"/>
      <c r="P14" s="206"/>
      <c r="Q14" s="19">
        <v>3</v>
      </c>
      <c r="R14" s="29">
        <v>7.2</v>
      </c>
      <c r="T14" s="206" t="s">
        <v>169</v>
      </c>
      <c r="U14" s="206"/>
      <c r="V14" s="206"/>
      <c r="W14" s="206"/>
      <c r="X14" s="206"/>
      <c r="Y14" s="11">
        <v>1</v>
      </c>
    </row>
    <row r="15" spans="2:65" x14ac:dyDescent="0.2">
      <c r="B15" s="211" t="s">
        <v>149</v>
      </c>
      <c r="C15" s="212"/>
      <c r="D15" s="212"/>
      <c r="E15" s="212"/>
      <c r="F15" s="212"/>
      <c r="G15" s="212"/>
      <c r="H15" s="212"/>
      <c r="I15" s="212"/>
      <c r="J15" s="212"/>
      <c r="K15" s="212"/>
      <c r="L15" s="212"/>
      <c r="M15" s="212"/>
      <c r="N15" s="212"/>
      <c r="O15" s="212"/>
      <c r="P15" s="213"/>
      <c r="Q15" s="19">
        <v>3</v>
      </c>
      <c r="R15" s="29">
        <v>7.2</v>
      </c>
      <c r="T15" s="206" t="s">
        <v>170</v>
      </c>
      <c r="U15" s="206"/>
      <c r="V15" s="206"/>
      <c r="W15" s="206"/>
      <c r="X15" s="206"/>
      <c r="Y15" s="11">
        <v>2</v>
      </c>
    </row>
    <row r="16" spans="2:65" x14ac:dyDescent="0.2">
      <c r="B16" s="215" t="s">
        <v>180</v>
      </c>
      <c r="C16" s="216"/>
      <c r="D16" s="216"/>
      <c r="E16" s="216"/>
      <c r="F16" s="216"/>
      <c r="G16" s="216"/>
      <c r="H16" s="216"/>
      <c r="I16" s="216"/>
      <c r="J16" s="216"/>
      <c r="K16" s="216"/>
      <c r="L16" s="216"/>
      <c r="M16" s="216"/>
      <c r="N16" s="216"/>
      <c r="O16" s="216"/>
      <c r="P16" s="217"/>
      <c r="Q16" s="19">
        <v>2</v>
      </c>
      <c r="R16" s="29">
        <v>7.2</v>
      </c>
      <c r="T16" s="206" t="s">
        <v>171</v>
      </c>
      <c r="U16" s="206"/>
      <c r="V16" s="206"/>
      <c r="W16" s="206"/>
      <c r="X16" s="206"/>
      <c r="Y16" s="11">
        <v>3</v>
      </c>
    </row>
    <row r="17" spans="2:64" x14ac:dyDescent="0.2">
      <c r="B17" s="215" t="s">
        <v>150</v>
      </c>
      <c r="C17" s="216"/>
      <c r="D17" s="216"/>
      <c r="E17" s="216"/>
      <c r="F17" s="216"/>
      <c r="G17" s="216"/>
      <c r="H17" s="216"/>
      <c r="I17" s="216"/>
      <c r="J17" s="216"/>
      <c r="K17" s="216"/>
      <c r="L17" s="216"/>
      <c r="M17" s="216"/>
      <c r="N17" s="216"/>
      <c r="O17" s="216"/>
      <c r="P17" s="217"/>
      <c r="Q17" s="19">
        <v>2</v>
      </c>
      <c r="R17" s="29">
        <v>7.2</v>
      </c>
      <c r="T17" s="206" t="s">
        <v>172</v>
      </c>
      <c r="U17" s="206"/>
      <c r="V17" s="206"/>
      <c r="W17" s="206"/>
      <c r="X17" s="206"/>
      <c r="Y17" s="11">
        <v>4</v>
      </c>
    </row>
    <row r="18" spans="2:64" ht="12.75" customHeight="1" x14ac:dyDescent="0.2">
      <c r="B18" s="211" t="s">
        <v>176</v>
      </c>
      <c r="C18" s="212"/>
      <c r="D18" s="212"/>
      <c r="E18" s="212"/>
      <c r="F18" s="212"/>
      <c r="G18" s="212"/>
      <c r="H18" s="212"/>
      <c r="I18" s="212"/>
      <c r="J18" s="212"/>
      <c r="K18" s="212"/>
      <c r="L18" s="212"/>
      <c r="M18" s="212"/>
      <c r="N18" s="212"/>
      <c r="O18" s="212"/>
      <c r="P18" s="213"/>
      <c r="Q18" s="21">
        <v>2</v>
      </c>
      <c r="R18" s="29">
        <v>7.2</v>
      </c>
      <c r="AR18" s="15"/>
      <c r="AS18" s="15"/>
      <c r="AT18" s="15"/>
      <c r="AU18" s="15"/>
      <c r="AV18" s="15"/>
      <c r="AW18" s="15"/>
      <c r="AX18" s="15"/>
      <c r="AY18" s="15"/>
      <c r="AZ18" s="15"/>
      <c r="BA18" s="15"/>
      <c r="BB18" s="15"/>
      <c r="BC18" s="15"/>
      <c r="BD18" s="15"/>
      <c r="BE18" s="15"/>
      <c r="BF18" s="15"/>
    </row>
    <row r="19" spans="2:64" ht="12.75" customHeight="1" x14ac:dyDescent="0.2">
      <c r="B19" s="211" t="s">
        <v>226</v>
      </c>
      <c r="C19" s="212"/>
      <c r="D19" s="212"/>
      <c r="E19" s="212"/>
      <c r="F19" s="212"/>
      <c r="G19" s="212"/>
      <c r="H19" s="212"/>
      <c r="I19" s="212"/>
      <c r="J19" s="212"/>
      <c r="K19" s="212"/>
      <c r="L19" s="212"/>
      <c r="M19" s="212"/>
      <c r="N19" s="212"/>
      <c r="O19" s="212"/>
      <c r="P19" s="213"/>
      <c r="Q19" s="21">
        <v>2</v>
      </c>
      <c r="R19" s="29">
        <v>7.2</v>
      </c>
      <c r="AR19" s="15"/>
      <c r="AS19" s="15"/>
      <c r="AT19" s="15"/>
      <c r="AU19" s="15"/>
      <c r="AV19" s="15"/>
      <c r="AW19" s="15"/>
      <c r="AX19" s="15"/>
      <c r="AY19" s="15"/>
      <c r="AZ19" s="15"/>
      <c r="BA19" s="15"/>
      <c r="BB19" s="15"/>
      <c r="BC19" s="15"/>
      <c r="BD19" s="15"/>
      <c r="BE19" s="15"/>
      <c r="BF19" s="15"/>
    </row>
    <row r="20" spans="2:64" x14ac:dyDescent="0.2">
      <c r="B20" s="211" t="s">
        <v>227</v>
      </c>
      <c r="C20" s="212"/>
      <c r="D20" s="212"/>
      <c r="E20" s="212"/>
      <c r="F20" s="212"/>
      <c r="G20" s="212"/>
      <c r="H20" s="212"/>
      <c r="I20" s="212"/>
      <c r="J20" s="212"/>
      <c r="K20" s="212"/>
      <c r="L20" s="212"/>
      <c r="M20" s="212"/>
      <c r="N20" s="212"/>
      <c r="O20" s="212"/>
      <c r="P20" s="213"/>
      <c r="Q20" s="31">
        <v>1.5</v>
      </c>
      <c r="R20" s="29">
        <v>7.2</v>
      </c>
      <c r="AR20" s="15"/>
      <c r="AS20" s="15"/>
      <c r="AT20" s="15"/>
      <c r="AU20" s="15"/>
      <c r="AV20" s="15"/>
      <c r="AW20" s="15"/>
      <c r="AX20" s="15"/>
      <c r="AY20" s="15"/>
      <c r="AZ20" s="15"/>
      <c r="BA20" s="15"/>
      <c r="BB20" s="15"/>
      <c r="BC20" s="15"/>
      <c r="BD20" s="15"/>
      <c r="BE20" s="15"/>
      <c r="BF20" s="15"/>
      <c r="BG20" s="13"/>
      <c r="BH20" s="13"/>
      <c r="BJ20" s="13"/>
      <c r="BK20" s="13"/>
      <c r="BL20" s="13"/>
    </row>
    <row r="21" spans="2:64" x14ac:dyDescent="0.2">
      <c r="B21" s="211" t="s">
        <v>153</v>
      </c>
      <c r="C21" s="212"/>
      <c r="D21" s="212"/>
      <c r="E21" s="212"/>
      <c r="F21" s="212"/>
      <c r="G21" s="212"/>
      <c r="H21" s="212"/>
      <c r="I21" s="212"/>
      <c r="J21" s="212"/>
      <c r="K21" s="212"/>
      <c r="L21" s="212"/>
      <c r="M21" s="212"/>
      <c r="N21" s="212"/>
      <c r="O21" s="212"/>
      <c r="P21" s="213"/>
      <c r="Q21" s="31">
        <v>1.5</v>
      </c>
      <c r="R21" s="29">
        <v>7.2</v>
      </c>
      <c r="AR21" s="15"/>
      <c r="AS21" s="15"/>
      <c r="AT21" s="15"/>
      <c r="AU21" s="15"/>
      <c r="AV21" s="15"/>
      <c r="AW21" s="15"/>
      <c r="AX21" s="15"/>
      <c r="AY21" s="15"/>
      <c r="AZ21" s="15"/>
      <c r="BA21" s="15"/>
      <c r="BB21" s="15"/>
      <c r="BC21" s="15"/>
      <c r="BD21" s="15"/>
      <c r="BE21" s="15"/>
      <c r="BF21" s="15"/>
      <c r="BG21" s="13"/>
      <c r="BH21" s="13"/>
      <c r="BI21" s="13"/>
      <c r="BJ21" s="13"/>
      <c r="BK21" s="13"/>
      <c r="BL21" s="13"/>
    </row>
    <row r="22" spans="2:64" x14ac:dyDescent="0.2">
      <c r="B22" s="214" t="s">
        <v>152</v>
      </c>
      <c r="C22" s="214"/>
      <c r="D22" s="214"/>
      <c r="E22" s="214"/>
      <c r="F22" s="214"/>
      <c r="G22" s="214"/>
      <c r="H22" s="214"/>
      <c r="I22" s="214"/>
      <c r="J22" s="214"/>
      <c r="K22" s="214"/>
      <c r="L22" s="214"/>
      <c r="M22" s="214"/>
      <c r="N22" s="214"/>
      <c r="O22" s="214"/>
      <c r="P22" s="214"/>
      <c r="Q22" s="21">
        <v>1</v>
      </c>
      <c r="R22" s="29">
        <v>7.2</v>
      </c>
      <c r="AR22" s="15"/>
      <c r="AS22" s="15"/>
      <c r="AT22" s="15"/>
      <c r="AU22" s="15"/>
      <c r="AV22" s="15"/>
      <c r="AW22" s="15"/>
      <c r="AX22" s="15"/>
      <c r="AY22" s="15"/>
      <c r="AZ22" s="15"/>
      <c r="BA22" s="15"/>
      <c r="BB22" s="15"/>
      <c r="BC22" s="15"/>
      <c r="BD22" s="15"/>
      <c r="BE22" s="15"/>
      <c r="BF22" s="15"/>
      <c r="BG22" s="13"/>
      <c r="BH22" s="13"/>
      <c r="BI22" s="13"/>
      <c r="BJ22" s="13"/>
      <c r="BK22" s="13"/>
      <c r="BL22" s="13"/>
    </row>
    <row r="23" spans="2:64" x14ac:dyDescent="0.2">
      <c r="B23" s="211" t="s">
        <v>178</v>
      </c>
      <c r="C23" s="212"/>
      <c r="D23" s="212"/>
      <c r="E23" s="212"/>
      <c r="F23" s="212"/>
      <c r="G23" s="212"/>
      <c r="H23" s="212"/>
      <c r="I23" s="212"/>
      <c r="J23" s="212"/>
      <c r="K23" s="212"/>
      <c r="L23" s="212"/>
      <c r="M23" s="212"/>
      <c r="N23" s="212"/>
      <c r="O23" s="212"/>
      <c r="P23" s="213"/>
      <c r="Q23" s="21">
        <v>1</v>
      </c>
      <c r="R23" s="29">
        <v>7.2</v>
      </c>
      <c r="AR23" s="15"/>
      <c r="AS23" s="15"/>
      <c r="AT23" s="15"/>
      <c r="AU23" s="15"/>
      <c r="AV23" s="15"/>
      <c r="AW23" s="15"/>
      <c r="AX23" s="15"/>
      <c r="AY23" s="15"/>
      <c r="AZ23" s="15"/>
      <c r="BA23" s="15"/>
      <c r="BB23" s="15"/>
      <c r="BC23" s="15"/>
      <c r="BD23" s="15"/>
      <c r="BE23" s="15"/>
      <c r="BF23" s="15"/>
      <c r="BG23" s="13"/>
      <c r="BH23" s="13"/>
      <c r="BI23" s="13"/>
      <c r="BJ23" s="13"/>
      <c r="BK23" s="13"/>
      <c r="BL23" s="13"/>
    </row>
    <row r="24" spans="2:64" x14ac:dyDescent="0.2">
      <c r="B24" s="211" t="s">
        <v>175</v>
      </c>
      <c r="C24" s="212"/>
      <c r="D24" s="212"/>
      <c r="E24" s="212"/>
      <c r="F24" s="212"/>
      <c r="G24" s="212"/>
      <c r="H24" s="212"/>
      <c r="I24" s="212"/>
      <c r="J24" s="212"/>
      <c r="K24" s="212"/>
      <c r="L24" s="212"/>
      <c r="M24" s="212"/>
      <c r="N24" s="212"/>
      <c r="O24" s="212"/>
      <c r="P24" s="213"/>
      <c r="Q24" s="21">
        <v>1</v>
      </c>
      <c r="R24" s="29">
        <v>7</v>
      </c>
      <c r="AR24" s="15"/>
      <c r="AS24" s="15"/>
      <c r="AT24" s="15"/>
      <c r="AU24" s="15"/>
      <c r="AV24" s="15"/>
      <c r="AW24" s="15"/>
      <c r="AX24" s="15"/>
      <c r="AY24" s="15"/>
      <c r="AZ24" s="15"/>
      <c r="BA24" s="15"/>
      <c r="BB24" s="15"/>
      <c r="BC24" s="15"/>
      <c r="BD24" s="15"/>
      <c r="BE24" s="15"/>
      <c r="BF24" s="15"/>
    </row>
    <row r="25" spans="2:64" ht="12.75" customHeight="1" x14ac:dyDescent="0.2">
      <c r="B25" s="211" t="s">
        <v>179</v>
      </c>
      <c r="C25" s="212"/>
      <c r="D25" s="212"/>
      <c r="E25" s="212"/>
      <c r="F25" s="212"/>
      <c r="G25" s="212"/>
      <c r="H25" s="212"/>
      <c r="I25" s="212"/>
      <c r="J25" s="212"/>
      <c r="K25" s="212"/>
      <c r="L25" s="212"/>
      <c r="M25" s="212"/>
      <c r="N25" s="212"/>
      <c r="O25" s="212"/>
      <c r="P25" s="213"/>
      <c r="Q25" s="21">
        <v>1</v>
      </c>
      <c r="R25" s="29">
        <v>7</v>
      </c>
      <c r="AR25" s="15"/>
      <c r="AS25" s="15"/>
      <c r="AT25" s="15"/>
      <c r="AU25" s="15"/>
      <c r="AV25" s="15"/>
      <c r="AW25" s="15"/>
      <c r="AX25" s="15"/>
      <c r="AY25" s="15"/>
      <c r="AZ25" s="15"/>
      <c r="BA25" s="15"/>
      <c r="BB25" s="15"/>
      <c r="BC25" s="15"/>
      <c r="BD25" s="15"/>
      <c r="BE25" s="15"/>
      <c r="BF25" s="15"/>
    </row>
    <row r="26" spans="2:64" x14ac:dyDescent="0.2">
      <c r="B26" s="211" t="s">
        <v>177</v>
      </c>
      <c r="C26" s="212"/>
      <c r="D26" s="212"/>
      <c r="E26" s="212"/>
      <c r="F26" s="212"/>
      <c r="G26" s="212"/>
      <c r="H26" s="212"/>
      <c r="I26" s="212"/>
      <c r="J26" s="212"/>
      <c r="K26" s="212"/>
      <c r="L26" s="212"/>
      <c r="M26" s="212"/>
      <c r="N26" s="212"/>
      <c r="O26" s="212"/>
      <c r="P26" s="213"/>
      <c r="Q26" s="21">
        <v>1</v>
      </c>
      <c r="R26" s="29">
        <v>7</v>
      </c>
      <c r="AR26" s="15"/>
      <c r="AS26" s="15"/>
      <c r="AT26" s="15"/>
      <c r="AU26" s="15"/>
      <c r="AV26" s="15"/>
      <c r="AW26" s="15"/>
      <c r="AX26" s="15"/>
      <c r="AY26" s="15"/>
      <c r="AZ26" s="15"/>
      <c r="BA26" s="15"/>
      <c r="BB26" s="15"/>
      <c r="BC26" s="15"/>
      <c r="BD26" s="15"/>
      <c r="BE26" s="15"/>
      <c r="BF26" s="15"/>
    </row>
    <row r="27" spans="2:64" x14ac:dyDescent="0.2">
      <c r="B27" s="214"/>
      <c r="C27" s="214"/>
      <c r="D27" s="214"/>
      <c r="E27" s="214"/>
      <c r="F27" s="214"/>
      <c r="G27" s="214"/>
      <c r="H27" s="214"/>
      <c r="I27" s="214"/>
      <c r="J27" s="214"/>
      <c r="K27" s="214"/>
      <c r="L27" s="214"/>
      <c r="M27" s="214"/>
      <c r="N27" s="214"/>
      <c r="O27" s="214"/>
      <c r="P27" s="214"/>
      <c r="Q27" s="21"/>
      <c r="R27" s="29"/>
      <c r="AR27" s="15"/>
      <c r="AS27" s="15"/>
      <c r="AT27" s="15"/>
      <c r="AU27" s="15"/>
      <c r="AV27" s="15"/>
      <c r="AW27" s="15"/>
      <c r="AX27" s="15"/>
      <c r="AY27" s="15"/>
      <c r="AZ27" s="15"/>
      <c r="BA27" s="15"/>
      <c r="BB27" s="15"/>
      <c r="BC27" s="15"/>
      <c r="BD27" s="15"/>
      <c r="BE27" s="15"/>
      <c r="BF27" s="15"/>
    </row>
    <row r="29" spans="2:64" x14ac:dyDescent="0.2">
      <c r="B29" s="218" t="s">
        <v>159</v>
      </c>
      <c r="C29" s="218"/>
      <c r="D29" s="218"/>
      <c r="E29" s="218"/>
      <c r="F29" s="218"/>
      <c r="G29" s="218"/>
      <c r="H29" s="218"/>
      <c r="I29" s="218"/>
      <c r="J29" s="218"/>
      <c r="K29" s="218"/>
      <c r="L29" s="218"/>
      <c r="M29" s="218"/>
      <c r="N29" s="218"/>
    </row>
    <row r="31" spans="2:64" x14ac:dyDescent="0.2">
      <c r="B31" s="202" t="s">
        <v>24</v>
      </c>
      <c r="C31" s="202"/>
      <c r="D31" s="202"/>
      <c r="E31" s="21"/>
      <c r="F31" s="202" t="s">
        <v>136</v>
      </c>
      <c r="G31" s="202"/>
      <c r="H31" s="202"/>
      <c r="I31" s="202"/>
    </row>
    <row r="32" spans="2:64" x14ac:dyDescent="0.2">
      <c r="B32" s="206" t="s">
        <v>5</v>
      </c>
      <c r="C32" s="206"/>
      <c r="D32" s="206"/>
      <c r="E32" s="19"/>
      <c r="F32" s="206" t="s">
        <v>3</v>
      </c>
      <c r="G32" s="206"/>
      <c r="H32" s="206"/>
      <c r="I32" s="206"/>
    </row>
    <row r="33" spans="2:15" x14ac:dyDescent="0.2">
      <c r="B33" s="206" t="s">
        <v>6</v>
      </c>
      <c r="C33" s="206"/>
      <c r="D33" s="206"/>
      <c r="E33" s="19"/>
      <c r="F33" s="206" t="s">
        <v>4</v>
      </c>
      <c r="G33" s="206"/>
      <c r="H33" s="206"/>
      <c r="I33" s="206"/>
    </row>
    <row r="35" spans="2:15" ht="15.75" customHeight="1" x14ac:dyDescent="0.2">
      <c r="B35" s="208" t="s">
        <v>109</v>
      </c>
      <c r="C35" s="209"/>
      <c r="D35" s="209"/>
      <c r="E35" s="209"/>
      <c r="F35" s="209"/>
      <c r="G35" s="209"/>
      <c r="H35" s="209"/>
      <c r="I35" s="209"/>
      <c r="J35" s="209"/>
      <c r="K35" s="209"/>
      <c r="L35" s="209"/>
      <c r="M35" s="209"/>
      <c r="N35" s="210"/>
      <c r="O35" s="20"/>
    </row>
    <row r="37" spans="2:15" x14ac:dyDescent="0.2">
      <c r="B37" s="207" t="s">
        <v>203</v>
      </c>
      <c r="C37" s="207"/>
      <c r="D37" s="207"/>
      <c r="E37" s="207"/>
      <c r="F37" s="207"/>
    </row>
    <row r="38" spans="2:15" x14ac:dyDescent="0.2">
      <c r="B38" s="205">
        <v>43466</v>
      </c>
      <c r="C38" s="206"/>
      <c r="D38" s="206"/>
      <c r="E38" s="206"/>
      <c r="F38" s="206"/>
    </row>
    <row r="39" spans="2:15" x14ac:dyDescent="0.2">
      <c r="B39" s="205">
        <v>43472</v>
      </c>
      <c r="C39" s="206"/>
      <c r="D39" s="206"/>
      <c r="E39" s="206"/>
      <c r="F39" s="206"/>
    </row>
    <row r="40" spans="2:15" x14ac:dyDescent="0.2">
      <c r="B40" s="205">
        <v>43549</v>
      </c>
      <c r="C40" s="206"/>
      <c r="D40" s="206"/>
      <c r="E40" s="206"/>
      <c r="F40" s="206"/>
    </row>
    <row r="41" spans="2:15" x14ac:dyDescent="0.2">
      <c r="B41" s="205">
        <v>43573</v>
      </c>
      <c r="C41" s="206"/>
      <c r="D41" s="206"/>
      <c r="E41" s="206"/>
      <c r="F41" s="206"/>
    </row>
    <row r="42" spans="2:15" x14ac:dyDescent="0.2">
      <c r="B42" s="205">
        <v>43574</v>
      </c>
      <c r="C42" s="206"/>
      <c r="D42" s="206"/>
      <c r="E42" s="206"/>
      <c r="F42" s="206"/>
    </row>
    <row r="43" spans="2:15" x14ac:dyDescent="0.2">
      <c r="B43" s="205">
        <v>43586</v>
      </c>
      <c r="C43" s="206"/>
      <c r="D43" s="206"/>
      <c r="E43" s="206"/>
      <c r="F43" s="206"/>
    </row>
    <row r="44" spans="2:15" x14ac:dyDescent="0.2">
      <c r="B44" s="205">
        <v>43234</v>
      </c>
      <c r="C44" s="206"/>
      <c r="D44" s="206"/>
      <c r="E44" s="206"/>
      <c r="F44" s="206"/>
    </row>
    <row r="45" spans="2:15" x14ac:dyDescent="0.2">
      <c r="B45" s="205">
        <v>43619</v>
      </c>
      <c r="C45" s="206"/>
      <c r="D45" s="206"/>
      <c r="E45" s="206"/>
      <c r="F45" s="206"/>
    </row>
    <row r="46" spans="2:15" x14ac:dyDescent="0.2">
      <c r="B46" s="205">
        <v>43640</v>
      </c>
      <c r="C46" s="206"/>
      <c r="D46" s="206"/>
      <c r="E46" s="206"/>
      <c r="F46" s="206"/>
    </row>
    <row r="47" spans="2:15" x14ac:dyDescent="0.2">
      <c r="B47" s="205">
        <v>43647</v>
      </c>
      <c r="C47" s="206"/>
      <c r="D47" s="206"/>
      <c r="E47" s="206"/>
      <c r="F47" s="206"/>
    </row>
    <row r="48" spans="2:15" x14ac:dyDescent="0.2">
      <c r="B48" s="205">
        <v>43666</v>
      </c>
      <c r="C48" s="206"/>
      <c r="D48" s="206"/>
      <c r="E48" s="206"/>
      <c r="F48" s="206"/>
    </row>
    <row r="49" spans="2:6" x14ac:dyDescent="0.2">
      <c r="B49" s="205">
        <v>43684</v>
      </c>
      <c r="C49" s="206"/>
      <c r="D49" s="206"/>
      <c r="E49" s="206"/>
      <c r="F49" s="206"/>
    </row>
    <row r="50" spans="2:6" x14ac:dyDescent="0.2">
      <c r="B50" s="205">
        <v>43696</v>
      </c>
      <c r="C50" s="206"/>
      <c r="D50" s="206"/>
      <c r="E50" s="206"/>
      <c r="F50" s="206"/>
    </row>
    <row r="51" spans="2:6" x14ac:dyDescent="0.2">
      <c r="B51" s="205">
        <v>43752</v>
      </c>
      <c r="C51" s="206"/>
      <c r="D51" s="206"/>
      <c r="E51" s="206"/>
      <c r="F51" s="206"/>
    </row>
    <row r="52" spans="2:6" x14ac:dyDescent="0.2">
      <c r="B52" s="205">
        <v>43773</v>
      </c>
      <c r="C52" s="206"/>
      <c r="D52" s="206"/>
      <c r="E52" s="206"/>
      <c r="F52" s="206"/>
    </row>
    <row r="53" spans="2:6" x14ac:dyDescent="0.2">
      <c r="B53" s="205">
        <v>43780</v>
      </c>
      <c r="C53" s="206"/>
      <c r="D53" s="206"/>
      <c r="E53" s="206"/>
      <c r="F53" s="206"/>
    </row>
    <row r="54" spans="2:6" x14ac:dyDescent="0.2">
      <c r="B54" s="205">
        <v>43824</v>
      </c>
      <c r="C54" s="206"/>
      <c r="D54" s="206"/>
      <c r="E54" s="206"/>
      <c r="F54" s="206"/>
    </row>
  </sheetData>
  <sheetProtection selectLockedCells="1"/>
  <mergeCells count="73">
    <mergeCell ref="B20:P20"/>
    <mergeCell ref="B22:P22"/>
    <mergeCell ref="B21:P21"/>
    <mergeCell ref="B24:P24"/>
    <mergeCell ref="B23:P23"/>
    <mergeCell ref="B29:N29"/>
    <mergeCell ref="B2:N2"/>
    <mergeCell ref="B11:N11"/>
    <mergeCell ref="B25:P25"/>
    <mergeCell ref="B27:P27"/>
    <mergeCell ref="B26:P26"/>
    <mergeCell ref="B18:P18"/>
    <mergeCell ref="B19:P19"/>
    <mergeCell ref="P8:T8"/>
    <mergeCell ref="L8:N8"/>
    <mergeCell ref="P9:T9"/>
    <mergeCell ref="B4:D4"/>
    <mergeCell ref="B5:D5"/>
    <mergeCell ref="B6:D6"/>
    <mergeCell ref="B7:D7"/>
    <mergeCell ref="F4:J4"/>
    <mergeCell ref="T13:X13"/>
    <mergeCell ref="T14:X14"/>
    <mergeCell ref="T15:X15"/>
    <mergeCell ref="F5:J5"/>
    <mergeCell ref="F6:J6"/>
    <mergeCell ref="F7:J7"/>
    <mergeCell ref="B13:P13"/>
    <mergeCell ref="B14:P14"/>
    <mergeCell ref="L7:N7"/>
    <mergeCell ref="L6:N6"/>
    <mergeCell ref="L5:N5"/>
    <mergeCell ref="L4:N4"/>
    <mergeCell ref="B15:P15"/>
    <mergeCell ref="T16:X16"/>
    <mergeCell ref="T17:X17"/>
    <mergeCell ref="V4:Z4"/>
    <mergeCell ref="V5:Z5"/>
    <mergeCell ref="V6:Z6"/>
    <mergeCell ref="V7:Z7"/>
    <mergeCell ref="V9:Z9"/>
    <mergeCell ref="V8:Z8"/>
    <mergeCell ref="P7:T7"/>
    <mergeCell ref="P6:T6"/>
    <mergeCell ref="P5:T5"/>
    <mergeCell ref="P4:T4"/>
    <mergeCell ref="B16:P16"/>
    <mergeCell ref="B17:P17"/>
    <mergeCell ref="B31:D31"/>
    <mergeCell ref="B32:D32"/>
    <mergeCell ref="B33:D33"/>
    <mergeCell ref="F31:I31"/>
    <mergeCell ref="F32:I32"/>
    <mergeCell ref="F33:I33"/>
    <mergeCell ref="B37:F37"/>
    <mergeCell ref="B38:F38"/>
    <mergeCell ref="B39:F39"/>
    <mergeCell ref="B40:F40"/>
    <mergeCell ref="B35:N35"/>
    <mergeCell ref="B41:F41"/>
    <mergeCell ref="B42:F42"/>
    <mergeCell ref="B43:F43"/>
    <mergeCell ref="B44:F44"/>
    <mergeCell ref="B45:F45"/>
    <mergeCell ref="B51:F51"/>
    <mergeCell ref="B52:F52"/>
    <mergeCell ref="B53:F53"/>
    <mergeCell ref="B54:F54"/>
    <mergeCell ref="B46:F46"/>
    <mergeCell ref="B47:F47"/>
    <mergeCell ref="B48:F48"/>
    <mergeCell ref="B49:F49"/>
    <mergeCell ref="B50:F50"/>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9" tint="0.79998168889431442"/>
    <pageSetUpPr fitToPage="1"/>
  </sheetPr>
  <dimension ref="A1:BJ45"/>
  <sheetViews>
    <sheetView showGridLines="0" zoomScaleNormal="100" workbookViewId="0">
      <selection activeCell="AK22" sqref="AK22:AM22"/>
    </sheetView>
  </sheetViews>
  <sheetFormatPr baseColWidth="10" defaultColWidth="2.7109375" defaultRowHeight="12.75" x14ac:dyDescent="0.2"/>
  <cols>
    <col min="1" max="5" width="2.7109375" style="11"/>
    <col min="6" max="21" width="2.5703125" style="11" customWidth="1"/>
    <col min="22" max="24" width="2.7109375" style="11"/>
    <col min="25" max="27" width="3.28515625" style="11" customWidth="1"/>
    <col min="28" max="39" width="3.7109375" style="11" customWidth="1"/>
    <col min="40" max="46" width="1.42578125" style="11" customWidth="1"/>
    <col min="47" max="53" width="2" style="11" customWidth="1"/>
    <col min="54" max="16384" width="2.7109375" style="11"/>
  </cols>
  <sheetData>
    <row r="1" spans="3:62" x14ac:dyDescent="0.2">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row>
    <row r="2" spans="3:62" x14ac:dyDescent="0.2">
      <c r="C2" s="230" t="s">
        <v>68</v>
      </c>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K2" s="231"/>
      <c r="AL2" s="231"/>
      <c r="AM2" s="231"/>
      <c r="AN2" s="231"/>
      <c r="AO2" s="231"/>
      <c r="AP2" s="231"/>
      <c r="AQ2" s="231"/>
      <c r="AR2" s="231"/>
      <c r="AS2" s="231"/>
      <c r="AT2" s="231"/>
      <c r="AU2" s="231"/>
      <c r="AV2" s="231"/>
      <c r="AW2" s="231"/>
      <c r="AX2" s="231"/>
      <c r="AY2" s="231"/>
      <c r="AZ2" s="231"/>
      <c r="BA2" s="231"/>
    </row>
    <row r="3" spans="3:62" x14ac:dyDescent="0.2">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row>
    <row r="4" spans="3:62" x14ac:dyDescent="0.2">
      <c r="C4" s="231"/>
      <c r="D4" s="231"/>
      <c r="E4" s="231"/>
      <c r="F4" s="231"/>
      <c r="G4" s="231"/>
      <c r="H4" s="231"/>
      <c r="I4" s="231"/>
      <c r="J4" s="231"/>
      <c r="K4" s="231"/>
      <c r="L4" s="231"/>
      <c r="M4" s="231"/>
      <c r="N4" s="231"/>
      <c r="O4" s="231"/>
      <c r="P4" s="231"/>
      <c r="Q4" s="231"/>
      <c r="R4" s="231"/>
      <c r="S4" s="231"/>
      <c r="T4" s="231"/>
      <c r="U4" s="231"/>
      <c r="V4" s="231"/>
      <c r="W4" s="231"/>
      <c r="X4" s="231"/>
      <c r="Y4" s="231"/>
      <c r="Z4" s="231"/>
      <c r="AA4" s="231"/>
      <c r="AB4" s="231"/>
      <c r="AC4" s="231"/>
      <c r="AD4" s="231"/>
      <c r="AE4" s="231"/>
      <c r="AF4" s="231"/>
      <c r="AG4" s="231"/>
      <c r="AH4" s="231"/>
      <c r="AI4" s="231"/>
      <c r="AJ4" s="231"/>
      <c r="AK4" s="231"/>
      <c r="AL4" s="231"/>
      <c r="AM4" s="231"/>
      <c r="AN4" s="231"/>
      <c r="AO4" s="231"/>
      <c r="AP4" s="231"/>
      <c r="AQ4" s="231"/>
      <c r="AR4" s="231"/>
      <c r="AS4" s="231"/>
      <c r="AT4" s="231"/>
      <c r="AU4" s="231"/>
      <c r="AV4" s="231"/>
      <c r="AW4" s="231"/>
      <c r="AX4" s="231"/>
      <c r="AY4" s="231"/>
      <c r="AZ4" s="231"/>
      <c r="BA4" s="231"/>
    </row>
    <row r="5" spans="3:62" x14ac:dyDescent="0.2">
      <c r="C5" s="231"/>
      <c r="D5" s="231"/>
      <c r="E5" s="231"/>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1"/>
      <c r="AI5" s="231"/>
      <c r="AJ5" s="231"/>
      <c r="AK5" s="231"/>
      <c r="AL5" s="231"/>
      <c r="AM5" s="231"/>
      <c r="AN5" s="231"/>
      <c r="AO5" s="231"/>
      <c r="AP5" s="231"/>
      <c r="AQ5" s="231"/>
      <c r="AR5" s="231"/>
      <c r="AS5" s="231"/>
      <c r="AT5" s="231"/>
      <c r="AU5" s="231"/>
      <c r="AV5" s="231"/>
      <c r="AW5" s="231"/>
      <c r="AX5" s="231"/>
      <c r="AY5" s="231"/>
      <c r="AZ5" s="231"/>
      <c r="BA5" s="231"/>
    </row>
    <row r="6" spans="3:62" ht="14.25" x14ac:dyDescent="0.25">
      <c r="C6" s="237" t="s">
        <v>28</v>
      </c>
      <c r="D6" s="237"/>
      <c r="E6" s="237"/>
      <c r="F6" s="237"/>
      <c r="G6" s="237"/>
      <c r="H6" s="237"/>
      <c r="I6" s="237"/>
      <c r="J6" s="237"/>
      <c r="K6" s="237"/>
      <c r="L6" s="237"/>
      <c r="M6" s="237"/>
      <c r="N6" s="237"/>
      <c r="O6" s="237"/>
      <c r="P6" s="237"/>
      <c r="Q6" s="232"/>
      <c r="R6" s="232"/>
      <c r="S6" s="232"/>
      <c r="T6" s="232"/>
      <c r="U6" s="232"/>
      <c r="V6" s="232"/>
      <c r="W6" s="232"/>
      <c r="X6" s="232"/>
      <c r="Y6" s="232"/>
      <c r="Z6" s="232"/>
      <c r="AA6" s="232"/>
      <c r="AB6" s="232"/>
      <c r="AC6" s="232"/>
      <c r="AD6" s="232"/>
      <c r="AE6" s="232"/>
      <c r="AF6" s="232"/>
      <c r="AG6" s="232"/>
      <c r="AH6" s="232"/>
      <c r="AI6" s="232"/>
      <c r="AJ6" s="232"/>
      <c r="AK6" s="232"/>
      <c r="AL6" s="232"/>
      <c r="AM6" s="232"/>
      <c r="AN6" s="232"/>
      <c r="AO6" s="232"/>
      <c r="AP6" s="232"/>
      <c r="AQ6" s="232"/>
      <c r="AR6" s="232"/>
      <c r="AS6" s="232"/>
      <c r="AT6" s="232"/>
      <c r="AU6" s="232"/>
      <c r="AV6" s="232"/>
      <c r="AW6" s="232"/>
      <c r="AX6" s="232"/>
      <c r="AY6" s="232"/>
      <c r="AZ6" s="232"/>
      <c r="BA6" s="232"/>
      <c r="BB6" s="1"/>
      <c r="BC6" s="1"/>
      <c r="BD6" s="1"/>
      <c r="BE6" s="1"/>
      <c r="BF6" s="1"/>
      <c r="BG6" s="1"/>
      <c r="BH6" s="1"/>
      <c r="BI6" s="1"/>
      <c r="BJ6" s="1"/>
    </row>
    <row r="7" spans="3:62" ht="14.25" x14ac:dyDescent="0.2">
      <c r="C7" s="238"/>
      <c r="D7" s="238"/>
      <c r="E7" s="238"/>
      <c r="F7" s="238"/>
      <c r="G7" s="238"/>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238"/>
      <c r="BB7" s="1"/>
      <c r="BC7" s="1"/>
      <c r="BD7" s="1"/>
      <c r="BE7" s="1"/>
      <c r="BF7" s="1"/>
      <c r="BG7" s="1"/>
      <c r="BH7" s="1"/>
      <c r="BI7" s="1"/>
      <c r="BJ7" s="1"/>
    </row>
    <row r="8" spans="3:62" ht="14.25" x14ac:dyDescent="0.25">
      <c r="C8" s="240" t="s">
        <v>283</v>
      </c>
      <c r="D8" s="240"/>
      <c r="E8" s="240"/>
      <c r="F8" s="240"/>
      <c r="G8" s="240"/>
      <c r="H8" s="240"/>
      <c r="I8" s="240"/>
      <c r="J8" s="240"/>
      <c r="K8" s="240"/>
      <c r="L8" s="240"/>
      <c r="M8" s="240"/>
      <c r="N8" s="240"/>
      <c r="O8" s="240"/>
      <c r="P8" s="240"/>
      <c r="Q8" s="240"/>
      <c r="R8" s="241" t="str">
        <f>'Info General'!$R$4:$BA$4</f>
        <v>Prueba Técnica DevCo Ingeniero de pruebas</v>
      </c>
      <c r="S8" s="241"/>
      <c r="T8" s="241"/>
      <c r="U8" s="241"/>
      <c r="V8" s="241"/>
      <c r="W8" s="241"/>
      <c r="X8" s="241"/>
      <c r="Y8" s="241"/>
      <c r="Z8" s="241"/>
      <c r="AA8" s="241"/>
      <c r="AB8" s="241"/>
      <c r="AC8" s="241"/>
      <c r="AD8" s="241"/>
      <c r="AE8" s="241"/>
      <c r="AF8" s="241"/>
      <c r="AG8" s="241"/>
      <c r="AH8" s="241"/>
      <c r="AI8" s="241"/>
      <c r="AJ8" s="241"/>
      <c r="AK8" s="241"/>
      <c r="AL8" s="241"/>
      <c r="AM8" s="241"/>
      <c r="AN8" s="241"/>
      <c r="AO8" s="241"/>
      <c r="AP8" s="241"/>
      <c r="AQ8" s="241"/>
      <c r="AR8" s="241"/>
      <c r="AS8" s="241"/>
      <c r="AT8" s="241"/>
      <c r="AU8" s="241"/>
      <c r="AV8" s="241"/>
      <c r="AW8" s="241"/>
      <c r="AX8" s="241"/>
      <c r="AY8" s="241"/>
      <c r="AZ8" s="241"/>
      <c r="BA8" s="241"/>
      <c r="BB8" s="1"/>
      <c r="BC8" s="1"/>
      <c r="BD8" s="1"/>
      <c r="BE8" s="1"/>
      <c r="BF8" s="1"/>
      <c r="BG8" s="1"/>
      <c r="BH8" s="1"/>
      <c r="BI8" s="1"/>
      <c r="BJ8" s="1"/>
    </row>
    <row r="9" spans="3:62" ht="14.25" x14ac:dyDescent="0.25">
      <c r="C9" s="240" t="s">
        <v>279</v>
      </c>
      <c r="D9" s="240"/>
      <c r="E9" s="240"/>
      <c r="F9" s="240"/>
      <c r="G9" s="240"/>
      <c r="H9" s="240"/>
      <c r="I9" s="240"/>
      <c r="J9" s="240"/>
      <c r="K9" s="240"/>
      <c r="L9" s="240"/>
      <c r="M9" s="240"/>
      <c r="N9" s="240"/>
      <c r="O9" s="240"/>
      <c r="P9" s="240"/>
      <c r="Q9" s="240"/>
      <c r="R9" s="241" t="str">
        <f>CONCATENATE('Info General'!$R$5:$BA$5," - ",'Info General'!$R$6:$BA$6)</f>
        <v>Travelocity - Generar diferentes tipos de reservas como hoteles, vuelos, alquiler de vehículos, paquetes y actividades turisticas, de acuerdo a la necesidad de cada cliente</v>
      </c>
      <c r="S9" s="241"/>
      <c r="T9" s="241"/>
      <c r="U9" s="241"/>
      <c r="V9" s="241"/>
      <c r="W9" s="241"/>
      <c r="X9" s="241"/>
      <c r="Y9" s="241"/>
      <c r="Z9" s="241"/>
      <c r="AA9" s="241"/>
      <c r="AB9" s="241"/>
      <c r="AC9" s="241"/>
      <c r="AD9" s="241"/>
      <c r="AE9" s="241"/>
      <c r="AF9" s="241"/>
      <c r="AG9" s="241"/>
      <c r="AH9" s="241"/>
      <c r="AI9" s="241"/>
      <c r="AJ9" s="241"/>
      <c r="AK9" s="241"/>
      <c r="AL9" s="241"/>
      <c r="AM9" s="241"/>
      <c r="AN9" s="241"/>
      <c r="AO9" s="241"/>
      <c r="AP9" s="241"/>
      <c r="AQ9" s="241"/>
      <c r="AR9" s="241"/>
      <c r="AS9" s="241"/>
      <c r="AT9" s="241"/>
      <c r="AU9" s="241"/>
      <c r="AV9" s="241"/>
      <c r="AW9" s="241"/>
      <c r="AX9" s="241"/>
      <c r="AY9" s="241"/>
      <c r="AZ9" s="241"/>
      <c r="BA9" s="241"/>
      <c r="BB9" s="1"/>
      <c r="BC9" s="1"/>
      <c r="BD9" s="1"/>
      <c r="BE9" s="1"/>
      <c r="BF9" s="1"/>
      <c r="BG9" s="1"/>
      <c r="BH9" s="1"/>
      <c r="BI9" s="1"/>
      <c r="BJ9" s="1"/>
    </row>
    <row r="10" spans="3:62" ht="14.25" x14ac:dyDescent="0.25">
      <c r="C10" s="240" t="s">
        <v>123</v>
      </c>
      <c r="D10" s="240"/>
      <c r="E10" s="240"/>
      <c r="F10" s="240"/>
      <c r="G10" s="240"/>
      <c r="H10" s="240"/>
      <c r="I10" s="240"/>
      <c r="J10" s="240"/>
      <c r="K10" s="240"/>
      <c r="L10" s="240"/>
      <c r="M10" s="240"/>
      <c r="N10" s="240"/>
      <c r="O10" s="240"/>
      <c r="P10" s="240"/>
      <c r="Q10" s="240"/>
      <c r="R10" s="241" t="str">
        <f>'Info General'!$R$7:$BA$7</f>
        <v>Desconocida</v>
      </c>
      <c r="S10" s="241"/>
      <c r="T10" s="241"/>
      <c r="U10" s="241"/>
      <c r="V10" s="241"/>
      <c r="W10" s="241"/>
      <c r="X10" s="241"/>
      <c r="Y10" s="241"/>
      <c r="Z10" s="241"/>
      <c r="AA10" s="241"/>
      <c r="AB10" s="241"/>
      <c r="AC10" s="241"/>
      <c r="AD10" s="241"/>
      <c r="AE10" s="241"/>
      <c r="AF10" s="241"/>
      <c r="AG10" s="241"/>
      <c r="AH10" s="241"/>
      <c r="AI10" s="241"/>
      <c r="AJ10" s="241"/>
      <c r="AK10" s="241"/>
      <c r="AL10" s="241"/>
      <c r="AM10" s="241"/>
      <c r="AN10" s="241"/>
      <c r="AO10" s="241"/>
      <c r="AP10" s="241"/>
      <c r="AQ10" s="241"/>
      <c r="AR10" s="241"/>
      <c r="AS10" s="241"/>
      <c r="AT10" s="241"/>
      <c r="AU10" s="241"/>
      <c r="AV10" s="241"/>
      <c r="AW10" s="241"/>
      <c r="AX10" s="241"/>
      <c r="AY10" s="241"/>
      <c r="AZ10" s="241"/>
      <c r="BA10" s="241"/>
      <c r="BB10" s="1"/>
      <c r="BC10" s="1"/>
      <c r="BD10" s="1"/>
      <c r="BE10" s="1"/>
      <c r="BF10" s="1"/>
      <c r="BG10" s="1"/>
      <c r="BH10" s="1"/>
      <c r="BI10" s="1"/>
      <c r="BJ10" s="1"/>
    </row>
    <row r="11" spans="3:62" ht="14.25" x14ac:dyDescent="0.25">
      <c r="C11" s="240" t="s">
        <v>67</v>
      </c>
      <c r="D11" s="240"/>
      <c r="E11" s="240"/>
      <c r="F11" s="240"/>
      <c r="G11" s="240"/>
      <c r="H11" s="240"/>
      <c r="I11" s="240"/>
      <c r="J11" s="240"/>
      <c r="K11" s="240"/>
      <c r="L11" s="240"/>
      <c r="M11" s="240"/>
      <c r="N11" s="240"/>
      <c r="O11" s="240"/>
      <c r="P11" s="240"/>
      <c r="Q11" s="240"/>
      <c r="R11" s="241">
        <f>'Info General'!$R$15:$BA$15</f>
        <v>5</v>
      </c>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1"/>
      <c r="BC11" s="1"/>
      <c r="BD11" s="1"/>
      <c r="BE11" s="1"/>
      <c r="BF11" s="1"/>
      <c r="BG11" s="1"/>
      <c r="BH11" s="1"/>
      <c r="BI11" s="1"/>
      <c r="BJ11" s="1"/>
    </row>
    <row r="12" spans="3:62" ht="14.25" x14ac:dyDescent="0.25">
      <c r="C12" s="240" t="s">
        <v>280</v>
      </c>
      <c r="D12" s="240"/>
      <c r="E12" s="240"/>
      <c r="F12" s="240"/>
      <c r="G12" s="240"/>
      <c r="H12" s="240"/>
      <c r="I12" s="240"/>
      <c r="J12" s="240"/>
      <c r="K12" s="240"/>
      <c r="L12" s="240"/>
      <c r="M12" s="240"/>
      <c r="N12" s="240"/>
      <c r="O12" s="240"/>
      <c r="P12" s="240"/>
      <c r="Q12" s="240"/>
      <c r="R12" s="239">
        <f>'Info General'!R16:BA16</f>
        <v>44321</v>
      </c>
      <c r="S12" s="239"/>
      <c r="T12" s="239"/>
      <c r="U12" s="239"/>
      <c r="V12" s="239"/>
      <c r="W12" s="239"/>
      <c r="X12" s="239"/>
      <c r="Y12" s="239"/>
      <c r="Z12" s="239"/>
      <c r="AA12" s="239"/>
      <c r="AB12" s="239"/>
      <c r="AC12" s="239"/>
      <c r="AD12" s="239"/>
      <c r="AE12" s="239"/>
      <c r="AF12" s="239"/>
      <c r="AG12" s="239"/>
      <c r="AH12" s="239"/>
      <c r="AI12" s="239"/>
      <c r="AJ12" s="239"/>
      <c r="AK12" s="239"/>
      <c r="AL12" s="239"/>
      <c r="AM12" s="239"/>
      <c r="AN12" s="239"/>
      <c r="AO12" s="239"/>
      <c r="AP12" s="239"/>
      <c r="AQ12" s="239"/>
      <c r="AR12" s="239"/>
      <c r="AS12" s="239"/>
      <c r="AT12" s="239"/>
      <c r="AU12" s="239"/>
      <c r="AV12" s="239"/>
      <c r="AW12" s="239"/>
      <c r="AX12" s="239"/>
      <c r="AY12" s="239"/>
      <c r="AZ12" s="239"/>
      <c r="BA12" s="239"/>
      <c r="BB12" s="1"/>
      <c r="BC12" s="1"/>
      <c r="BD12" s="1"/>
      <c r="BE12" s="1"/>
      <c r="BF12" s="1"/>
      <c r="BG12" s="1"/>
      <c r="BH12" s="1"/>
      <c r="BI12" s="1"/>
      <c r="BJ12" s="1"/>
    </row>
    <row r="13" spans="3:62" ht="14.25" x14ac:dyDescent="0.25">
      <c r="C13" s="240" t="s">
        <v>37</v>
      </c>
      <c r="D13" s="240"/>
      <c r="E13" s="240"/>
      <c r="F13" s="240"/>
      <c r="G13" s="240"/>
      <c r="H13" s="240"/>
      <c r="I13" s="240"/>
      <c r="J13" s="240"/>
      <c r="K13" s="240"/>
      <c r="L13" s="240"/>
      <c r="M13" s="240"/>
      <c r="N13" s="240"/>
      <c r="O13" s="240"/>
      <c r="P13" s="240"/>
      <c r="Q13" s="240"/>
      <c r="R13" s="239">
        <f>'Tiempos Planeados'!$AZ$12</f>
        <v>44321</v>
      </c>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1"/>
      <c r="BC13" s="1"/>
      <c r="BD13" s="1"/>
      <c r="BE13" s="1"/>
      <c r="BF13" s="1"/>
      <c r="BG13" s="1"/>
      <c r="BH13" s="1"/>
      <c r="BI13" s="1"/>
      <c r="BJ13" s="1"/>
    </row>
    <row r="14" spans="3:62" ht="14.25" x14ac:dyDescent="0.25">
      <c r="C14" s="240" t="s">
        <v>277</v>
      </c>
      <c r="D14" s="240"/>
      <c r="E14" s="240"/>
      <c r="F14" s="240"/>
      <c r="G14" s="240"/>
      <c r="H14" s="240"/>
      <c r="I14" s="240"/>
      <c r="J14" s="240"/>
      <c r="K14" s="240"/>
      <c r="L14" s="240"/>
      <c r="M14" s="240"/>
      <c r="N14" s="240"/>
      <c r="O14" s="240"/>
      <c r="P14" s="240"/>
      <c r="Q14" s="240"/>
      <c r="R14" s="239">
        <f>'Tiempos Planeados'!$BC$12</f>
        <v>44328</v>
      </c>
      <c r="S14" s="239"/>
      <c r="T14" s="239"/>
      <c r="U14" s="239"/>
      <c r="V14" s="239"/>
      <c r="W14" s="239"/>
      <c r="X14" s="239"/>
      <c r="Y14" s="239"/>
      <c r="Z14" s="239"/>
      <c r="AA14" s="239"/>
      <c r="AB14" s="239"/>
      <c r="AC14" s="239"/>
      <c r="AD14" s="239"/>
      <c r="AE14" s="239"/>
      <c r="AF14" s="239"/>
      <c r="AG14" s="239"/>
      <c r="AH14" s="239"/>
      <c r="AI14" s="239"/>
      <c r="AJ14" s="239"/>
      <c r="AK14" s="239"/>
      <c r="AL14" s="239"/>
      <c r="AM14" s="239"/>
      <c r="AN14" s="239"/>
      <c r="AO14" s="239"/>
      <c r="AP14" s="239"/>
      <c r="AQ14" s="239"/>
      <c r="AR14" s="239"/>
      <c r="AS14" s="239"/>
      <c r="AT14" s="239"/>
      <c r="AU14" s="239"/>
      <c r="AV14" s="239"/>
      <c r="AW14" s="239"/>
      <c r="AX14" s="239"/>
      <c r="AY14" s="239"/>
      <c r="AZ14" s="239"/>
      <c r="BA14" s="239"/>
      <c r="BB14" s="1"/>
      <c r="BC14" s="1"/>
      <c r="BD14" s="1"/>
      <c r="BE14" s="1"/>
      <c r="BF14" s="1"/>
      <c r="BG14" s="1"/>
      <c r="BH14" s="1"/>
      <c r="BI14" s="1"/>
      <c r="BJ14" s="1"/>
    </row>
    <row r="15" spans="3:62" ht="14.25" x14ac:dyDescent="0.25">
      <c r="C15" s="240" t="s">
        <v>186</v>
      </c>
      <c r="D15" s="240"/>
      <c r="E15" s="240"/>
      <c r="F15" s="240"/>
      <c r="G15" s="240"/>
      <c r="H15" s="240"/>
      <c r="I15" s="240"/>
      <c r="J15" s="240"/>
      <c r="K15" s="240"/>
      <c r="L15" s="240"/>
      <c r="M15" s="240"/>
      <c r="N15" s="240"/>
      <c r="O15" s="240"/>
      <c r="P15" s="240"/>
      <c r="Q15" s="240"/>
      <c r="R15" s="239">
        <f>'Tiempos Planeados'!$BF$12</f>
        <v>44328</v>
      </c>
      <c r="S15" s="239"/>
      <c r="T15" s="239"/>
      <c r="U15" s="239"/>
      <c r="V15" s="239"/>
      <c r="W15" s="239"/>
      <c r="X15" s="239"/>
      <c r="Y15" s="239"/>
      <c r="Z15" s="239"/>
      <c r="AA15" s="239"/>
      <c r="AB15" s="239"/>
      <c r="AC15" s="239"/>
      <c r="AD15" s="239"/>
      <c r="AE15" s="239"/>
      <c r="AF15" s="239"/>
      <c r="AG15" s="239"/>
      <c r="AH15" s="239"/>
      <c r="AI15" s="239"/>
      <c r="AJ15" s="239"/>
      <c r="AK15" s="239"/>
      <c r="AL15" s="239"/>
      <c r="AM15" s="239"/>
      <c r="AN15" s="239"/>
      <c r="AO15" s="239"/>
      <c r="AP15" s="239"/>
      <c r="AQ15" s="239"/>
      <c r="AR15" s="239"/>
      <c r="AS15" s="239"/>
      <c r="AT15" s="239"/>
      <c r="AU15" s="239"/>
      <c r="AV15" s="239"/>
      <c r="AW15" s="239"/>
      <c r="AX15" s="239"/>
      <c r="AY15" s="239"/>
      <c r="AZ15" s="239"/>
      <c r="BA15" s="239"/>
      <c r="BB15" s="1"/>
      <c r="BC15" s="1"/>
      <c r="BD15" s="1"/>
      <c r="BE15" s="1"/>
      <c r="BF15" s="1"/>
      <c r="BG15" s="1"/>
      <c r="BH15" s="1"/>
      <c r="BI15" s="1"/>
      <c r="BJ15" s="1"/>
    </row>
    <row r="16" spans="3:62" ht="14.25" x14ac:dyDescent="0.25">
      <c r="C16" s="102"/>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row>
    <row r="17" spans="1:62" ht="14.25" x14ac:dyDescent="0.25">
      <c r="C17" s="242" t="s">
        <v>47</v>
      </c>
      <c r="D17" s="242"/>
      <c r="E17" s="242"/>
      <c r="F17" s="242"/>
      <c r="G17" s="242"/>
      <c r="H17" s="242"/>
      <c r="I17" s="242"/>
      <c r="J17" s="242"/>
      <c r="K17" s="242"/>
      <c r="L17" s="242"/>
      <c r="M17" s="242"/>
      <c r="N17" s="242"/>
      <c r="O17" s="242"/>
      <c r="P17" s="242"/>
      <c r="Q17" s="103"/>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4"/>
      <c r="BC17" s="14"/>
      <c r="BD17" s="14"/>
      <c r="BE17" s="14"/>
      <c r="BF17" s="14"/>
      <c r="BG17" s="14"/>
      <c r="BH17" s="14"/>
      <c r="BI17" s="14"/>
      <c r="BJ17" s="14"/>
    </row>
    <row r="18" spans="1:62" ht="14.25" x14ac:dyDescent="0.25">
      <c r="C18" s="236"/>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c r="AI18" s="236"/>
      <c r="AJ18" s="236"/>
      <c r="AK18" s="236"/>
      <c r="AL18" s="236"/>
      <c r="AM18" s="236"/>
      <c r="AN18" s="236"/>
      <c r="AO18" s="236"/>
      <c r="AP18" s="236"/>
      <c r="AQ18" s="236"/>
      <c r="AR18" s="236"/>
      <c r="AS18" s="236"/>
      <c r="AT18" s="236"/>
      <c r="AU18" s="236"/>
      <c r="AV18" s="236"/>
      <c r="AW18" s="236"/>
      <c r="AX18" s="236"/>
      <c r="AY18" s="236"/>
      <c r="AZ18" s="236"/>
      <c r="BA18" s="236"/>
    </row>
    <row r="19" spans="1:62" s="15" customFormat="1" ht="14.25" customHeight="1" x14ac:dyDescent="0.25">
      <c r="C19" s="172" t="s">
        <v>48</v>
      </c>
      <c r="D19" s="172"/>
      <c r="E19" s="172"/>
      <c r="F19" s="172"/>
      <c r="G19" s="172"/>
      <c r="H19" s="172"/>
      <c r="I19" s="172"/>
      <c r="J19" s="172"/>
      <c r="K19" s="172"/>
      <c r="L19" s="172"/>
      <c r="M19" s="172"/>
      <c r="N19" s="172"/>
      <c r="O19" s="172"/>
      <c r="P19" s="172"/>
      <c r="Q19" s="172"/>
      <c r="R19" s="172"/>
      <c r="S19" s="172"/>
      <c r="T19" s="172"/>
      <c r="U19" s="172"/>
      <c r="V19" s="172" t="s">
        <v>66</v>
      </c>
      <c r="W19" s="172"/>
      <c r="X19" s="172"/>
      <c r="Y19" s="172"/>
      <c r="Z19" s="172"/>
      <c r="AA19" s="172"/>
      <c r="AB19" s="172"/>
      <c r="AC19" s="172"/>
      <c r="AD19" s="172"/>
      <c r="AE19" s="172"/>
      <c r="AF19" s="172"/>
      <c r="AG19" s="172"/>
      <c r="AH19" s="172"/>
      <c r="AI19" s="172"/>
      <c r="AJ19" s="172"/>
      <c r="AK19" s="172"/>
      <c r="AL19" s="172"/>
      <c r="AM19" s="172"/>
      <c r="AN19" s="172" t="s">
        <v>264</v>
      </c>
      <c r="AO19" s="172"/>
      <c r="AP19" s="172"/>
      <c r="AQ19" s="172"/>
      <c r="AR19" s="172"/>
      <c r="AS19" s="172"/>
      <c r="AT19" s="172"/>
      <c r="AU19" s="172"/>
      <c r="AV19" s="172"/>
      <c r="AW19" s="172"/>
      <c r="AX19" s="172"/>
      <c r="AY19" s="172"/>
      <c r="AZ19" s="172"/>
      <c r="BA19" s="172"/>
    </row>
    <row r="20" spans="1:62" s="15" customFormat="1" ht="16.5" customHeight="1" x14ac:dyDescent="0.25">
      <c r="A20" s="32" t="s">
        <v>162</v>
      </c>
      <c r="C20" s="220" t="s">
        <v>31</v>
      </c>
      <c r="D20" s="243"/>
      <c r="E20" s="243"/>
      <c r="F20" s="220" t="s">
        <v>155</v>
      </c>
      <c r="G20" s="243"/>
      <c r="H20" s="243"/>
      <c r="I20" s="243"/>
      <c r="J20" s="243"/>
      <c r="K20" s="243"/>
      <c r="L20" s="243"/>
      <c r="M20" s="243"/>
      <c r="N20" s="243"/>
      <c r="O20" s="243"/>
      <c r="P20" s="243"/>
      <c r="Q20" s="243"/>
      <c r="R20" s="243"/>
      <c r="S20" s="243"/>
      <c r="T20" s="243"/>
      <c r="U20" s="243"/>
      <c r="V20" s="219" t="s">
        <v>41</v>
      </c>
      <c r="W20" s="219"/>
      <c r="X20" s="219"/>
      <c r="Y20" s="219" t="s">
        <v>50</v>
      </c>
      <c r="Z20" s="219"/>
      <c r="AA20" s="219"/>
      <c r="AB20" s="219" t="s">
        <v>44</v>
      </c>
      <c r="AC20" s="219"/>
      <c r="AD20" s="219"/>
      <c r="AE20" s="219" t="s">
        <v>45</v>
      </c>
      <c r="AF20" s="219"/>
      <c r="AG20" s="219"/>
      <c r="AH20" s="219" t="s">
        <v>259</v>
      </c>
      <c r="AI20" s="219"/>
      <c r="AJ20" s="219"/>
      <c r="AK20" s="219" t="s">
        <v>46</v>
      </c>
      <c r="AL20" s="219"/>
      <c r="AM20" s="219"/>
      <c r="AN20" s="220" t="s">
        <v>182</v>
      </c>
      <c r="AO20" s="220"/>
      <c r="AP20" s="220"/>
      <c r="AQ20" s="220"/>
      <c r="AR20" s="220"/>
      <c r="AS20" s="220"/>
      <c r="AT20" s="220"/>
      <c r="AU20" s="220" t="s">
        <v>265</v>
      </c>
      <c r="AV20" s="220"/>
      <c r="AW20" s="220"/>
      <c r="AX20" s="220"/>
      <c r="AY20" s="220"/>
      <c r="AZ20" s="220"/>
      <c r="BA20" s="220"/>
    </row>
    <row r="21" spans="1:62" ht="14.25" x14ac:dyDescent="0.25">
      <c r="A21" s="7"/>
      <c r="C21" s="221" t="str">
        <f>IF('Info General'!C24:E24&lt;&gt;"",'Info General'!C24:E24,"")</f>
        <v>HU-001</v>
      </c>
      <c r="D21" s="221"/>
      <c r="E21" s="221"/>
      <c r="F21" s="222" t="str">
        <f>IF('Info General'!F24:T24&lt;&gt;"",'Info General'!F24:T24,"")</f>
        <v>Acceso a la plataforma Travelocity</v>
      </c>
      <c r="G21" s="222"/>
      <c r="H21" s="222"/>
      <c r="I21" s="222"/>
      <c r="J21" s="222"/>
      <c r="K21" s="222"/>
      <c r="L21" s="222"/>
      <c r="M21" s="222"/>
      <c r="N21" s="222"/>
      <c r="O21" s="222"/>
      <c r="P21" s="222"/>
      <c r="Q21" s="222"/>
      <c r="R21" s="222"/>
      <c r="S21" s="222"/>
      <c r="T21" s="222"/>
      <c r="U21" s="222"/>
      <c r="V21" s="223">
        <f>'Tiempos Planeados'!AH7</f>
        <v>3.5</v>
      </c>
      <c r="W21" s="223"/>
      <c r="X21" s="223"/>
      <c r="Y21" s="223">
        <f>'Tiempos Planeados'!AW7</f>
        <v>4.8090000000000002</v>
      </c>
      <c r="Z21" s="223"/>
      <c r="AA21" s="223"/>
      <c r="AB21" s="226">
        <f>'Tiempos Planeados'!AZ7</f>
        <v>44321</v>
      </c>
      <c r="AC21" s="226"/>
      <c r="AD21" s="226"/>
      <c r="AE21" s="226">
        <f>'Tiempos Planeados'!BC7</f>
        <v>44321</v>
      </c>
      <c r="AF21" s="227"/>
      <c r="AG21" s="227"/>
      <c r="AH21" s="226">
        <f>'Tiempos Planeados'!BF7</f>
        <v>44321</v>
      </c>
      <c r="AI21" s="227"/>
      <c r="AJ21" s="227"/>
      <c r="AK21" s="228"/>
      <c r="AL21" s="229"/>
      <c r="AM21" s="229"/>
      <c r="AN21" s="227">
        <f>'Tiempos Planeados'!BJ7</f>
        <v>7</v>
      </c>
      <c r="AO21" s="227"/>
      <c r="AP21" s="227"/>
      <c r="AQ21" s="227"/>
      <c r="AR21" s="227"/>
      <c r="AS21" s="227"/>
      <c r="AT21" s="227"/>
      <c r="AU21" s="224">
        <f>IF($V$29&gt;0,'Tiempos Planeados'!BK7,0)</f>
        <v>0</v>
      </c>
      <c r="AV21" s="225"/>
      <c r="AW21" s="225"/>
      <c r="AX21" s="225"/>
      <c r="AY21" s="225"/>
      <c r="AZ21" s="225"/>
      <c r="BA21" s="225"/>
      <c r="BB21" s="15"/>
      <c r="BC21" s="15"/>
      <c r="BD21" s="15"/>
      <c r="BE21" s="15"/>
      <c r="BF21" s="15"/>
      <c r="BG21" s="15"/>
      <c r="BH21" s="15"/>
      <c r="BI21" s="15"/>
      <c r="BJ21" s="15"/>
    </row>
    <row r="22" spans="1:62" ht="14.25" x14ac:dyDescent="0.25">
      <c r="A22" s="7"/>
      <c r="C22" s="221" t="str">
        <f>IF('Info General'!C25:E25&lt;&gt;"",'Info General'!C25:E25,"")</f>
        <v>HU-002</v>
      </c>
      <c r="D22" s="221"/>
      <c r="E22" s="221"/>
      <c r="F22" s="222" t="str">
        <f>IF('Info General'!F25:T25&lt;&gt;"",'Info General'!F25:T25,"")</f>
        <v>Busqueda de Actividades turisticas</v>
      </c>
      <c r="G22" s="222"/>
      <c r="H22" s="222"/>
      <c r="I22" s="222"/>
      <c r="J22" s="222"/>
      <c r="K22" s="222"/>
      <c r="L22" s="222"/>
      <c r="M22" s="222"/>
      <c r="N22" s="222"/>
      <c r="O22" s="222"/>
      <c r="P22" s="222"/>
      <c r="Q22" s="222"/>
      <c r="R22" s="222"/>
      <c r="S22" s="222"/>
      <c r="T22" s="222"/>
      <c r="U22" s="222"/>
      <c r="V22" s="223">
        <f>'Tiempos Planeados'!AH8</f>
        <v>4</v>
      </c>
      <c r="W22" s="223"/>
      <c r="X22" s="223"/>
      <c r="Y22" s="223">
        <f>'Tiempos Planeados'!AW8</f>
        <v>5.4960000000000004</v>
      </c>
      <c r="Z22" s="223"/>
      <c r="AA22" s="223"/>
      <c r="AB22" s="226">
        <f>'Tiempos Planeados'!AZ8</f>
        <v>44322</v>
      </c>
      <c r="AC22" s="226"/>
      <c r="AD22" s="226"/>
      <c r="AE22" s="226">
        <f>'Tiempos Planeados'!BC8</f>
        <v>44322</v>
      </c>
      <c r="AF22" s="227"/>
      <c r="AG22" s="227"/>
      <c r="AH22" s="226">
        <f>'Tiempos Planeados'!BF8</f>
        <v>44323</v>
      </c>
      <c r="AI22" s="227"/>
      <c r="AJ22" s="227"/>
      <c r="AK22" s="228"/>
      <c r="AL22" s="229"/>
      <c r="AM22" s="229"/>
      <c r="AN22" s="227">
        <f>'Tiempos Planeados'!BJ8</f>
        <v>7</v>
      </c>
      <c r="AO22" s="227"/>
      <c r="AP22" s="227"/>
      <c r="AQ22" s="227"/>
      <c r="AR22" s="227"/>
      <c r="AS22" s="227"/>
      <c r="AT22" s="227"/>
      <c r="AU22" s="224">
        <f>IF($V$29&gt;0,'Tiempos Planeados'!BK8,0)</f>
        <v>0</v>
      </c>
      <c r="AV22" s="225"/>
      <c r="AW22" s="225"/>
      <c r="AX22" s="225"/>
      <c r="AY22" s="225"/>
      <c r="AZ22" s="225"/>
      <c r="BA22" s="225"/>
      <c r="BB22" s="15"/>
      <c r="BC22" s="15"/>
      <c r="BD22" s="15"/>
      <c r="BE22" s="15"/>
      <c r="BF22" s="15"/>
      <c r="BG22" s="15"/>
      <c r="BH22" s="15"/>
      <c r="BI22" s="15"/>
      <c r="BJ22" s="15"/>
    </row>
    <row r="23" spans="1:62" ht="14.25" x14ac:dyDescent="0.25">
      <c r="A23" s="7"/>
      <c r="C23" s="221" t="str">
        <f>IF('Info General'!C26:E26&lt;&gt;"",'Info General'!C26:E26,"")</f>
        <v>HU-003</v>
      </c>
      <c r="D23" s="221"/>
      <c r="E23" s="221"/>
      <c r="F23" s="222" t="str">
        <f>IF('Info General'!F26:T26&lt;&gt;"",'Info General'!F26:T26,"")</f>
        <v>Reserva de autos</v>
      </c>
      <c r="G23" s="222"/>
      <c r="H23" s="222"/>
      <c r="I23" s="222"/>
      <c r="J23" s="222"/>
      <c r="K23" s="222"/>
      <c r="L23" s="222"/>
      <c r="M23" s="222"/>
      <c r="N23" s="222"/>
      <c r="O23" s="222"/>
      <c r="P23" s="222"/>
      <c r="Q23" s="222"/>
      <c r="R23" s="222"/>
      <c r="S23" s="222"/>
      <c r="T23" s="222"/>
      <c r="U23" s="222"/>
      <c r="V23" s="223">
        <f>'Tiempos Planeados'!AH9</f>
        <v>5</v>
      </c>
      <c r="W23" s="223"/>
      <c r="X23" s="223"/>
      <c r="Y23" s="223">
        <f>'Tiempos Planeados'!AW9</f>
        <v>6.870000000000001</v>
      </c>
      <c r="Z23" s="223"/>
      <c r="AA23" s="223"/>
      <c r="AB23" s="226">
        <f>'Tiempos Planeados'!AZ9</f>
        <v>44323</v>
      </c>
      <c r="AC23" s="226"/>
      <c r="AD23" s="226"/>
      <c r="AE23" s="226">
        <f>'Tiempos Planeados'!BC9</f>
        <v>44326</v>
      </c>
      <c r="AF23" s="227"/>
      <c r="AG23" s="227"/>
      <c r="AH23" s="226">
        <f>'Tiempos Planeados'!BF9</f>
        <v>44326</v>
      </c>
      <c r="AI23" s="227"/>
      <c r="AJ23" s="227"/>
      <c r="AK23" s="228"/>
      <c r="AL23" s="229"/>
      <c r="AM23" s="229"/>
      <c r="AN23" s="227">
        <f>'Tiempos Planeados'!BJ9</f>
        <v>7</v>
      </c>
      <c r="AO23" s="227"/>
      <c r="AP23" s="227"/>
      <c r="AQ23" s="227"/>
      <c r="AR23" s="227"/>
      <c r="AS23" s="227"/>
      <c r="AT23" s="227"/>
      <c r="AU23" s="224">
        <f>IF($V$29&gt;0,'Tiempos Planeados'!BK9,0)</f>
        <v>0</v>
      </c>
      <c r="AV23" s="225"/>
      <c r="AW23" s="225"/>
      <c r="AX23" s="225"/>
      <c r="AY23" s="225"/>
      <c r="AZ23" s="225"/>
      <c r="BA23" s="225"/>
      <c r="BB23" s="15"/>
      <c r="BC23" s="15"/>
      <c r="BD23" s="15"/>
      <c r="BE23" s="15"/>
      <c r="BF23" s="15"/>
      <c r="BG23" s="15"/>
      <c r="BH23" s="15"/>
      <c r="BI23" s="15"/>
      <c r="BJ23" s="15"/>
    </row>
    <row r="24" spans="1:62" ht="14.25" x14ac:dyDescent="0.25">
      <c r="A24" s="7"/>
      <c r="C24" s="221" t="str">
        <f>IF('Info General'!C27:E27&lt;&gt;"",'Info General'!C27:E27,"")</f>
        <v>HU-004</v>
      </c>
      <c r="D24" s="221"/>
      <c r="E24" s="221"/>
      <c r="F24" s="222" t="str">
        <f>IF('Info General'!F27:T27&lt;&gt;"",'Info General'!F27:T27,"")</f>
        <v>Reserva de hoteles</v>
      </c>
      <c r="G24" s="222"/>
      <c r="H24" s="222"/>
      <c r="I24" s="222"/>
      <c r="J24" s="222"/>
      <c r="K24" s="222"/>
      <c r="L24" s="222"/>
      <c r="M24" s="222"/>
      <c r="N24" s="222"/>
      <c r="O24" s="222"/>
      <c r="P24" s="222"/>
      <c r="Q24" s="222"/>
      <c r="R24" s="222"/>
      <c r="S24" s="222"/>
      <c r="T24" s="222"/>
      <c r="U24" s="222"/>
      <c r="V24" s="223">
        <f>'Tiempos Planeados'!AH10</f>
        <v>6</v>
      </c>
      <c r="W24" s="223"/>
      <c r="X24" s="223"/>
      <c r="Y24" s="223">
        <f>'Tiempos Planeados'!AW10</f>
        <v>8.2440000000000015</v>
      </c>
      <c r="Z24" s="223"/>
      <c r="AA24" s="223"/>
      <c r="AB24" s="226">
        <f>'Tiempos Planeados'!AZ10</f>
        <v>44327</v>
      </c>
      <c r="AC24" s="226"/>
      <c r="AD24" s="226"/>
      <c r="AE24" s="226">
        <f>'Tiempos Planeados'!BC10</f>
        <v>44328</v>
      </c>
      <c r="AF24" s="227"/>
      <c r="AG24" s="227"/>
      <c r="AH24" s="226">
        <f>'Tiempos Planeados'!BF10</f>
        <v>44328</v>
      </c>
      <c r="AI24" s="227"/>
      <c r="AJ24" s="227"/>
      <c r="AK24" s="228"/>
      <c r="AL24" s="229"/>
      <c r="AM24" s="229"/>
      <c r="AN24" s="227">
        <f>'Tiempos Planeados'!BJ10</f>
        <v>7</v>
      </c>
      <c r="AO24" s="227"/>
      <c r="AP24" s="227"/>
      <c r="AQ24" s="227"/>
      <c r="AR24" s="227"/>
      <c r="AS24" s="227"/>
      <c r="AT24" s="227"/>
      <c r="AU24" s="224">
        <f>IF($V$29&gt;0,'Tiempos Planeados'!BK10,0)</f>
        <v>0</v>
      </c>
      <c r="AV24" s="225"/>
      <c r="AW24" s="225"/>
      <c r="AX24" s="225"/>
      <c r="AY24" s="225"/>
      <c r="AZ24" s="225"/>
      <c r="BA24" s="225"/>
      <c r="BB24" s="15"/>
      <c r="BC24" s="15"/>
      <c r="BD24" s="15"/>
      <c r="BE24" s="15"/>
      <c r="BF24" s="15"/>
      <c r="BG24" s="15"/>
      <c r="BH24" s="15"/>
      <c r="BI24" s="15"/>
      <c r="BJ24" s="15"/>
    </row>
    <row r="25" spans="1:62" ht="4.5" customHeight="1" x14ac:dyDescent="0.25">
      <c r="A25" s="7" t="s">
        <v>161</v>
      </c>
      <c r="C25" s="233"/>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c r="AO25" s="234"/>
      <c r="AP25" s="234"/>
      <c r="AQ25" s="234"/>
      <c r="AR25" s="234"/>
      <c r="AS25" s="234"/>
      <c r="AT25" s="234"/>
      <c r="AU25" s="234"/>
      <c r="AV25" s="234"/>
      <c r="AW25" s="234"/>
      <c r="AX25" s="234"/>
      <c r="AY25" s="234"/>
      <c r="AZ25" s="234"/>
      <c r="BA25" s="235"/>
    </row>
    <row r="26" spans="1:62" ht="12.75" customHeight="1" x14ac:dyDescent="0.25">
      <c r="C26" s="244" t="s">
        <v>267</v>
      </c>
      <c r="D26" s="245"/>
      <c r="E26" s="245"/>
      <c r="F26" s="245"/>
      <c r="G26" s="245"/>
      <c r="H26" s="245"/>
      <c r="I26" s="245"/>
      <c r="J26" s="245"/>
      <c r="K26" s="245"/>
      <c r="L26" s="245"/>
      <c r="M26" s="245"/>
      <c r="N26" s="245"/>
      <c r="O26" s="245"/>
      <c r="P26" s="245"/>
      <c r="Q26" s="245"/>
      <c r="R26" s="245"/>
      <c r="S26" s="245"/>
      <c r="T26" s="245"/>
      <c r="U26" s="246"/>
      <c r="V26" s="223">
        <f>'Tiempos Planeados'!AH12</f>
        <v>18.5</v>
      </c>
      <c r="W26" s="223"/>
      <c r="X26" s="223"/>
      <c r="Y26" s="223">
        <f>'Tiempos Planeados'!AW12</f>
        <v>25.419000000000004</v>
      </c>
      <c r="Z26" s="223"/>
      <c r="AA26" s="223"/>
      <c r="AB26" s="248"/>
      <c r="AC26" s="249"/>
      <c r="AD26" s="249"/>
      <c r="AE26" s="249"/>
      <c r="AF26" s="249"/>
      <c r="AG26" s="249"/>
      <c r="AH26" s="249"/>
      <c r="AI26" s="249"/>
      <c r="AJ26" s="249"/>
      <c r="AK26" s="249"/>
      <c r="AL26" s="249"/>
      <c r="AM26" s="250"/>
      <c r="AN26" s="251">
        <f>AVERAGE(AN20:AN25)</f>
        <v>7</v>
      </c>
      <c r="AO26" s="251"/>
      <c r="AP26" s="251"/>
      <c r="AQ26" s="251"/>
      <c r="AR26" s="251"/>
      <c r="AS26" s="251"/>
      <c r="AT26" s="251"/>
      <c r="AU26" s="247">
        <f>AVERAGE(AU20:AU25)</f>
        <v>0</v>
      </c>
      <c r="AV26" s="247"/>
      <c r="AW26" s="247"/>
      <c r="AX26" s="247"/>
      <c r="AY26" s="247"/>
      <c r="AZ26" s="247"/>
      <c r="BA26" s="247"/>
    </row>
    <row r="27" spans="1:62" ht="12.75" customHeight="1" x14ac:dyDescent="0.25">
      <c r="C27" s="102"/>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c r="BA27" s="102"/>
    </row>
    <row r="28" spans="1:62" ht="12.75" customHeight="1" x14ac:dyDescent="0.25">
      <c r="C28" s="172" t="s">
        <v>233</v>
      </c>
      <c r="D28" s="172"/>
      <c r="E28" s="172"/>
      <c r="F28" s="172" t="s">
        <v>234</v>
      </c>
      <c r="G28" s="172"/>
      <c r="H28" s="172"/>
      <c r="I28" s="172"/>
      <c r="J28" s="172"/>
      <c r="K28" s="172"/>
      <c r="L28" s="172"/>
      <c r="M28" s="172"/>
      <c r="N28" s="172"/>
      <c r="O28" s="172"/>
      <c r="P28" s="172"/>
      <c r="Q28" s="172"/>
      <c r="R28" s="172"/>
      <c r="S28" s="172"/>
      <c r="T28" s="172"/>
      <c r="U28" s="172"/>
      <c r="V28" s="180" t="s">
        <v>236</v>
      </c>
      <c r="W28" s="181"/>
      <c r="X28" s="181"/>
      <c r="Y28" s="181"/>
      <c r="Z28" s="182"/>
      <c r="AA28" s="168" t="s">
        <v>235</v>
      </c>
      <c r="AB28" s="168"/>
      <c r="AC28" s="168"/>
      <c r="AD28" s="168"/>
      <c r="AE28" s="168"/>
      <c r="AF28" s="168" t="s">
        <v>243</v>
      </c>
      <c r="AG28" s="168"/>
      <c r="AH28" s="168"/>
      <c r="AI28" s="168"/>
      <c r="AJ28" s="168"/>
      <c r="AK28" s="102"/>
      <c r="AL28" s="102"/>
      <c r="AM28" s="102"/>
      <c r="AN28" s="102"/>
      <c r="AO28" s="102"/>
      <c r="AP28" s="102"/>
      <c r="AQ28" s="102"/>
      <c r="AR28" s="102"/>
      <c r="AS28" s="102"/>
      <c r="AT28" s="102"/>
      <c r="AU28" s="102"/>
      <c r="AV28" s="102"/>
      <c r="AW28" s="102"/>
      <c r="AX28" s="102"/>
      <c r="AY28" s="102"/>
      <c r="AZ28" s="102"/>
      <c r="BA28" s="102"/>
    </row>
    <row r="29" spans="1:62" ht="12.75" customHeight="1" x14ac:dyDescent="0.25">
      <c r="C29" s="263">
        <v>1</v>
      </c>
      <c r="D29" s="263"/>
      <c r="E29" s="263"/>
      <c r="F29" s="263" t="s">
        <v>237</v>
      </c>
      <c r="G29" s="263"/>
      <c r="H29" s="263"/>
      <c r="I29" s="263"/>
      <c r="J29" s="263"/>
      <c r="K29" s="263"/>
      <c r="L29" s="263"/>
      <c r="M29" s="263"/>
      <c r="N29" s="263"/>
      <c r="O29" s="263"/>
      <c r="P29" s="263"/>
      <c r="Q29" s="263"/>
      <c r="R29" s="263"/>
      <c r="S29" s="263"/>
      <c r="T29" s="263"/>
      <c r="U29" s="263"/>
      <c r="V29" s="264">
        <f>'Tiempos Planeados'!V17</f>
        <v>0</v>
      </c>
      <c r="W29" s="265"/>
      <c r="X29" s="265"/>
      <c r="Y29" s="265"/>
      <c r="Z29" s="266"/>
      <c r="AA29" s="272">
        <f>'Tiempos Planeados'!AA17:AE17</f>
        <v>0</v>
      </c>
      <c r="AB29" s="272"/>
      <c r="AC29" s="272"/>
      <c r="AD29" s="272"/>
      <c r="AE29" s="272"/>
      <c r="AF29" s="273">
        <f>'Tiempos Planeados'!AF17:AJ17</f>
        <v>0</v>
      </c>
      <c r="AG29" s="273"/>
      <c r="AH29" s="273"/>
      <c r="AI29" s="273"/>
      <c r="AJ29" s="273"/>
      <c r="AK29" s="102"/>
      <c r="AL29" s="102"/>
      <c r="AM29" s="102"/>
      <c r="AN29" s="102"/>
      <c r="AO29" s="102"/>
      <c r="AP29" s="102"/>
      <c r="AQ29" s="102"/>
      <c r="AR29" s="102"/>
      <c r="AS29" s="102"/>
      <c r="AT29" s="102"/>
      <c r="AU29" s="102"/>
      <c r="AV29" s="102"/>
      <c r="AW29" s="102"/>
      <c r="AX29" s="102"/>
      <c r="AY29" s="102"/>
      <c r="AZ29" s="102"/>
      <c r="BA29" s="102"/>
    </row>
    <row r="30" spans="1:62" ht="12.75" customHeight="1" x14ac:dyDescent="0.25">
      <c r="C30" s="263">
        <v>2</v>
      </c>
      <c r="D30" s="263"/>
      <c r="E30" s="263"/>
      <c r="F30" s="263" t="s">
        <v>238</v>
      </c>
      <c r="G30" s="263"/>
      <c r="H30" s="263"/>
      <c r="I30" s="263"/>
      <c r="J30" s="263"/>
      <c r="K30" s="263"/>
      <c r="L30" s="263"/>
      <c r="M30" s="263"/>
      <c r="N30" s="263"/>
      <c r="O30" s="263"/>
      <c r="P30" s="263"/>
      <c r="Q30" s="263"/>
      <c r="R30" s="263"/>
      <c r="S30" s="263"/>
      <c r="T30" s="263"/>
      <c r="U30" s="263"/>
      <c r="V30" s="267"/>
      <c r="W30" s="238"/>
      <c r="X30" s="238"/>
      <c r="Y30" s="238"/>
      <c r="Z30" s="268"/>
      <c r="AA30" s="272">
        <f>'Tiempos Planeados'!AA18:AE18</f>
        <v>2</v>
      </c>
      <c r="AB30" s="272"/>
      <c r="AC30" s="272"/>
      <c r="AD30" s="272"/>
      <c r="AE30" s="272"/>
      <c r="AF30" s="273">
        <f>'Tiempos Planeados'!AF18:AJ18</f>
        <v>0</v>
      </c>
      <c r="AG30" s="273"/>
      <c r="AH30" s="273"/>
      <c r="AI30" s="273"/>
      <c r="AJ30" s="273"/>
      <c r="AK30" s="102"/>
      <c r="AL30" s="102"/>
      <c r="AM30" s="102"/>
      <c r="AN30" s="102"/>
      <c r="AO30" s="102"/>
      <c r="AP30" s="102"/>
      <c r="AQ30" s="102"/>
      <c r="AR30" s="102"/>
      <c r="AS30" s="102"/>
      <c r="AT30" s="102"/>
      <c r="AU30" s="102"/>
      <c r="AV30" s="102"/>
      <c r="AW30" s="102"/>
      <c r="AX30" s="102"/>
      <c r="AY30" s="102"/>
      <c r="AZ30" s="102"/>
      <c r="BA30" s="102"/>
    </row>
    <row r="31" spans="1:62" ht="12.75" customHeight="1" x14ac:dyDescent="0.25">
      <c r="C31" s="263">
        <v>3</v>
      </c>
      <c r="D31" s="263"/>
      <c r="E31" s="263"/>
      <c r="F31" s="263" t="s">
        <v>239</v>
      </c>
      <c r="G31" s="263"/>
      <c r="H31" s="263"/>
      <c r="I31" s="263"/>
      <c r="J31" s="263"/>
      <c r="K31" s="263"/>
      <c r="L31" s="263"/>
      <c r="M31" s="263"/>
      <c r="N31" s="263"/>
      <c r="O31" s="263"/>
      <c r="P31" s="263"/>
      <c r="Q31" s="263"/>
      <c r="R31" s="263"/>
      <c r="S31" s="263"/>
      <c r="T31" s="263"/>
      <c r="U31" s="263"/>
      <c r="V31" s="267"/>
      <c r="W31" s="238"/>
      <c r="X31" s="238"/>
      <c r="Y31" s="238"/>
      <c r="Z31" s="268"/>
      <c r="AA31" s="272">
        <f>'Tiempos Planeados'!AA19:AE19</f>
        <v>1.5</v>
      </c>
      <c r="AB31" s="272"/>
      <c r="AC31" s="272"/>
      <c r="AD31" s="272"/>
      <c r="AE31" s="272"/>
      <c r="AF31" s="273">
        <f>'Tiempos Planeados'!AF19:AJ19</f>
        <v>0</v>
      </c>
      <c r="AG31" s="273"/>
      <c r="AH31" s="273"/>
      <c r="AI31" s="273"/>
      <c r="AJ31" s="273"/>
      <c r="AK31" s="102"/>
      <c r="AL31" s="102"/>
      <c r="AM31" s="102"/>
      <c r="AN31" s="102"/>
      <c r="AO31" s="102"/>
      <c r="AP31" s="102"/>
      <c r="AQ31" s="102"/>
      <c r="AR31" s="102"/>
      <c r="AS31" s="102"/>
      <c r="AT31" s="102"/>
      <c r="AU31" s="102"/>
      <c r="AV31" s="102"/>
      <c r="AW31" s="102"/>
      <c r="AX31" s="102"/>
      <c r="AY31" s="102"/>
      <c r="AZ31" s="102"/>
      <c r="BA31" s="102"/>
    </row>
    <row r="32" spans="1:62" ht="12.75" customHeight="1" x14ac:dyDescent="0.25">
      <c r="C32" s="263">
        <v>4</v>
      </c>
      <c r="D32" s="263"/>
      <c r="E32" s="263"/>
      <c r="F32" s="263" t="s">
        <v>240</v>
      </c>
      <c r="G32" s="263"/>
      <c r="H32" s="263"/>
      <c r="I32" s="263"/>
      <c r="J32" s="263"/>
      <c r="K32" s="263"/>
      <c r="L32" s="263"/>
      <c r="M32" s="263"/>
      <c r="N32" s="263"/>
      <c r="O32" s="263"/>
      <c r="P32" s="263"/>
      <c r="Q32" s="263"/>
      <c r="R32" s="263"/>
      <c r="S32" s="263"/>
      <c r="T32" s="263"/>
      <c r="U32" s="263"/>
      <c r="V32" s="267"/>
      <c r="W32" s="238"/>
      <c r="X32" s="238"/>
      <c r="Y32" s="238"/>
      <c r="Z32" s="268"/>
      <c r="AA32" s="272">
        <f>'Tiempos Planeados'!AA20:AE20</f>
        <v>2.5</v>
      </c>
      <c r="AB32" s="272"/>
      <c r="AC32" s="272"/>
      <c r="AD32" s="272"/>
      <c r="AE32" s="272"/>
      <c r="AF32" s="273">
        <f>'Tiempos Planeados'!AF20:AJ20</f>
        <v>0</v>
      </c>
      <c r="AG32" s="273"/>
      <c r="AH32" s="273"/>
      <c r="AI32" s="273"/>
      <c r="AJ32" s="273"/>
      <c r="AK32" s="102"/>
      <c r="AL32" s="102"/>
      <c r="AM32" s="102"/>
      <c r="AN32" s="102"/>
      <c r="AO32" s="102"/>
      <c r="AP32" s="102"/>
      <c r="AQ32" s="102"/>
      <c r="AR32" s="102"/>
      <c r="AS32" s="102"/>
      <c r="AT32" s="102"/>
      <c r="AU32" s="102"/>
      <c r="AV32" s="102"/>
      <c r="AW32" s="102"/>
      <c r="AX32" s="102"/>
      <c r="AY32" s="102"/>
      <c r="AZ32" s="102"/>
      <c r="BA32" s="102"/>
    </row>
    <row r="33" spans="3:59" ht="12.75" customHeight="1" x14ac:dyDescent="0.25">
      <c r="C33" s="263">
        <v>5</v>
      </c>
      <c r="D33" s="263"/>
      <c r="E33" s="263"/>
      <c r="F33" s="263" t="s">
        <v>241</v>
      </c>
      <c r="G33" s="263"/>
      <c r="H33" s="263"/>
      <c r="I33" s="263"/>
      <c r="J33" s="263"/>
      <c r="K33" s="263"/>
      <c r="L33" s="263"/>
      <c r="M33" s="263"/>
      <c r="N33" s="263"/>
      <c r="O33" s="263"/>
      <c r="P33" s="263"/>
      <c r="Q33" s="263"/>
      <c r="R33" s="263"/>
      <c r="S33" s="263"/>
      <c r="T33" s="263"/>
      <c r="U33" s="263"/>
      <c r="V33" s="267"/>
      <c r="W33" s="238"/>
      <c r="X33" s="238"/>
      <c r="Y33" s="238"/>
      <c r="Z33" s="268"/>
      <c r="AA33" s="272">
        <f>'Tiempos Planeados'!AA21:AE21</f>
        <v>1.5</v>
      </c>
      <c r="AB33" s="272"/>
      <c r="AC33" s="272"/>
      <c r="AD33" s="272"/>
      <c r="AE33" s="272"/>
      <c r="AF33" s="273">
        <f>'Tiempos Planeados'!AF21:AJ21</f>
        <v>0</v>
      </c>
      <c r="AG33" s="273"/>
      <c r="AH33" s="273"/>
      <c r="AI33" s="273"/>
      <c r="AJ33" s="273"/>
      <c r="AK33" s="102"/>
      <c r="AL33" s="102"/>
      <c r="AM33" s="102"/>
      <c r="AN33" s="102"/>
      <c r="AO33" s="102"/>
      <c r="AP33" s="102"/>
      <c r="AQ33" s="102"/>
      <c r="AR33" s="102"/>
      <c r="AS33" s="102"/>
      <c r="AT33" s="102"/>
      <c r="AU33" s="102"/>
      <c r="AV33" s="102"/>
      <c r="AW33" s="102"/>
      <c r="AX33" s="102"/>
      <c r="AY33" s="102"/>
      <c r="AZ33" s="102"/>
      <c r="BA33" s="102"/>
    </row>
    <row r="34" spans="3:59" ht="12.75" customHeight="1" x14ac:dyDescent="0.25">
      <c r="C34" s="263">
        <v>6</v>
      </c>
      <c r="D34" s="263"/>
      <c r="E34" s="263"/>
      <c r="F34" s="263" t="s">
        <v>242</v>
      </c>
      <c r="G34" s="263"/>
      <c r="H34" s="263"/>
      <c r="I34" s="263"/>
      <c r="J34" s="263"/>
      <c r="K34" s="263"/>
      <c r="L34" s="263"/>
      <c r="M34" s="263"/>
      <c r="N34" s="263"/>
      <c r="O34" s="263"/>
      <c r="P34" s="263"/>
      <c r="Q34" s="263"/>
      <c r="R34" s="263"/>
      <c r="S34" s="263"/>
      <c r="T34" s="263"/>
      <c r="U34" s="263"/>
      <c r="V34" s="269"/>
      <c r="W34" s="270"/>
      <c r="X34" s="270"/>
      <c r="Y34" s="270"/>
      <c r="Z34" s="271"/>
      <c r="AA34" s="272">
        <f>'Tiempos Planeados'!AA22:AE22</f>
        <v>1.5</v>
      </c>
      <c r="AB34" s="272"/>
      <c r="AC34" s="272"/>
      <c r="AD34" s="272"/>
      <c r="AE34" s="272"/>
      <c r="AF34" s="273">
        <f>'Tiempos Planeados'!AF22:AJ22</f>
        <v>0</v>
      </c>
      <c r="AG34" s="273"/>
      <c r="AH34" s="273"/>
      <c r="AI34" s="273"/>
      <c r="AJ34" s="273"/>
      <c r="AK34" s="102"/>
      <c r="AL34" s="102"/>
      <c r="AM34" s="102"/>
      <c r="AN34" s="102"/>
      <c r="AO34" s="102"/>
      <c r="AP34" s="102"/>
      <c r="AQ34" s="102"/>
      <c r="AR34" s="102"/>
      <c r="AS34" s="102"/>
      <c r="AT34" s="102"/>
      <c r="AU34" s="102"/>
      <c r="AV34" s="102"/>
      <c r="AW34" s="102"/>
      <c r="AX34" s="102"/>
      <c r="AY34" s="102"/>
      <c r="AZ34" s="102"/>
      <c r="BA34" s="102"/>
    </row>
    <row r="35" spans="3:59" ht="12.75" customHeight="1" x14ac:dyDescent="0.25">
      <c r="C35" s="277" t="s">
        <v>244</v>
      </c>
      <c r="D35" s="277"/>
      <c r="E35" s="277"/>
      <c r="F35" s="277"/>
      <c r="G35" s="277"/>
      <c r="H35" s="277"/>
      <c r="I35" s="277"/>
      <c r="J35" s="277"/>
      <c r="K35" s="277"/>
      <c r="L35" s="277"/>
      <c r="M35" s="277"/>
      <c r="N35" s="277"/>
      <c r="O35" s="277"/>
      <c r="P35" s="277"/>
      <c r="Q35" s="277"/>
      <c r="R35" s="277"/>
      <c r="S35" s="277"/>
      <c r="T35" s="277"/>
      <c r="U35" s="277"/>
      <c r="V35" s="277"/>
      <c r="W35" s="277"/>
      <c r="X35" s="277"/>
      <c r="Y35" s="277"/>
      <c r="Z35" s="277"/>
      <c r="AA35" s="221">
        <f>'Tiempos Planeados'!AA23:AE23</f>
        <v>9</v>
      </c>
      <c r="AB35" s="221"/>
      <c r="AC35" s="221"/>
      <c r="AD35" s="221"/>
      <c r="AE35" s="221"/>
      <c r="AF35" s="274">
        <f>'Tiempos Planeados'!AF23:AJ23</f>
        <v>0</v>
      </c>
      <c r="AG35" s="275"/>
      <c r="AH35" s="275"/>
      <c r="AI35" s="275"/>
      <c r="AJ35" s="276"/>
      <c r="AK35" s="102"/>
      <c r="AL35" s="102"/>
      <c r="AM35" s="102"/>
      <c r="AN35" s="102"/>
      <c r="AO35" s="102"/>
      <c r="AP35" s="102"/>
      <c r="AQ35" s="102"/>
      <c r="AR35" s="102"/>
      <c r="AS35" s="102"/>
      <c r="AT35" s="102"/>
      <c r="AU35" s="102"/>
      <c r="AV35" s="102"/>
      <c r="AW35" s="102"/>
      <c r="AX35" s="102"/>
      <c r="AY35" s="102"/>
      <c r="AZ35" s="102"/>
      <c r="BA35" s="102"/>
    </row>
    <row r="36" spans="3:59" ht="12.75" customHeight="1"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row>
    <row r="37" spans="3:59" ht="12.75" customHeight="1" x14ac:dyDescent="0.25">
      <c r="C37" s="174" t="s">
        <v>63</v>
      </c>
      <c r="D37" s="175"/>
      <c r="E37" s="175"/>
      <c r="F37" s="175"/>
      <c r="G37" s="175"/>
      <c r="H37" s="175"/>
      <c r="I37" s="175"/>
      <c r="J37" s="175"/>
      <c r="K37" s="175"/>
      <c r="L37" s="175"/>
      <c r="M37" s="175"/>
      <c r="N37" s="175"/>
      <c r="O37" s="175"/>
      <c r="P37" s="176"/>
      <c r="Q37" s="103"/>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row>
    <row r="38" spans="3:59" ht="14.25" x14ac:dyDescent="0.25">
      <c r="C38" s="262"/>
      <c r="D38" s="262"/>
      <c r="E38" s="262"/>
      <c r="F38" s="262"/>
      <c r="G38" s="262"/>
      <c r="H38" s="262"/>
      <c r="I38" s="262"/>
      <c r="J38" s="262"/>
      <c r="K38" s="262"/>
      <c r="L38" s="262"/>
      <c r="M38" s="262"/>
      <c r="N38" s="262"/>
      <c r="O38" s="262"/>
      <c r="P38" s="262"/>
      <c r="Q38" s="262"/>
      <c r="R38" s="262"/>
      <c r="S38" s="262"/>
      <c r="T38" s="262"/>
      <c r="U38" s="262"/>
      <c r="V38" s="262"/>
      <c r="W38" s="262"/>
      <c r="X38" s="262"/>
      <c r="Y38" s="262"/>
      <c r="Z38" s="262"/>
      <c r="AA38" s="262"/>
      <c r="AB38" s="262"/>
      <c r="AC38" s="262"/>
      <c r="AD38" s="262"/>
      <c r="AE38" s="262"/>
      <c r="AF38" s="262"/>
      <c r="AG38" s="262"/>
      <c r="AH38" s="262"/>
      <c r="AI38" s="262"/>
      <c r="AJ38" s="262"/>
      <c r="AK38" s="262"/>
      <c r="AL38" s="262"/>
      <c r="AM38" s="262"/>
      <c r="AN38" s="262"/>
      <c r="AO38" s="262"/>
      <c r="AP38" s="262"/>
      <c r="AQ38" s="262"/>
      <c r="AR38" s="262"/>
      <c r="AS38" s="262"/>
      <c r="AT38" s="262"/>
      <c r="AU38" s="262"/>
      <c r="AV38" s="262"/>
      <c r="AW38" s="262"/>
      <c r="AX38" s="262"/>
      <c r="AY38" s="262"/>
      <c r="AZ38" s="262"/>
      <c r="BA38" s="262"/>
      <c r="BB38" s="13"/>
      <c r="BC38" s="13"/>
      <c r="BD38" s="13"/>
      <c r="BE38" s="13"/>
      <c r="BF38" s="13"/>
      <c r="BG38" s="13"/>
    </row>
    <row r="39" spans="3:59" x14ac:dyDescent="0.2">
      <c r="C39" s="253"/>
      <c r="D39" s="254"/>
      <c r="E39" s="254"/>
      <c r="F39" s="254"/>
      <c r="G39" s="254"/>
      <c r="H39" s="254"/>
      <c r="I39" s="254"/>
      <c r="J39" s="254"/>
      <c r="K39" s="254"/>
      <c r="L39" s="254"/>
      <c r="M39" s="254"/>
      <c r="N39" s="254"/>
      <c r="O39" s="254"/>
      <c r="P39" s="254"/>
      <c r="Q39" s="254"/>
      <c r="R39" s="254"/>
      <c r="S39" s="254"/>
      <c r="T39" s="254"/>
      <c r="U39" s="254"/>
      <c r="V39" s="254"/>
      <c r="W39" s="254"/>
      <c r="X39" s="254"/>
      <c r="Y39" s="254"/>
      <c r="Z39" s="254"/>
      <c r="AA39" s="254"/>
      <c r="AB39" s="254"/>
      <c r="AC39" s="254"/>
      <c r="AD39" s="254"/>
      <c r="AE39" s="254"/>
      <c r="AF39" s="254"/>
      <c r="AG39" s="254"/>
      <c r="AH39" s="254"/>
      <c r="AI39" s="254"/>
      <c r="AJ39" s="254"/>
      <c r="AK39" s="254"/>
      <c r="AL39" s="254"/>
      <c r="AM39" s="254"/>
      <c r="AN39" s="254"/>
      <c r="AO39" s="254"/>
      <c r="AP39" s="254"/>
      <c r="AQ39" s="254"/>
      <c r="AR39" s="254"/>
      <c r="AS39" s="254"/>
      <c r="AT39" s="254"/>
      <c r="AU39" s="254"/>
      <c r="AV39" s="254"/>
      <c r="AW39" s="254"/>
      <c r="AX39" s="254"/>
      <c r="AY39" s="254"/>
      <c r="AZ39" s="254"/>
      <c r="BA39" s="255"/>
      <c r="BB39" s="13"/>
      <c r="BC39" s="13"/>
      <c r="BD39" s="13"/>
      <c r="BE39" s="13"/>
      <c r="BF39" s="13"/>
      <c r="BG39" s="13"/>
    </row>
    <row r="40" spans="3:59" x14ac:dyDescent="0.2">
      <c r="C40" s="256"/>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8"/>
      <c r="BB40" s="13"/>
      <c r="BC40" s="13"/>
      <c r="BD40" s="13"/>
      <c r="BE40" s="13"/>
      <c r="BF40" s="13"/>
      <c r="BG40" s="13"/>
    </row>
    <row r="41" spans="3:59" x14ac:dyDescent="0.2">
      <c r="C41" s="256"/>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8"/>
    </row>
    <row r="42" spans="3:59" ht="12.75" customHeight="1" x14ac:dyDescent="0.2">
      <c r="C42" s="256"/>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8"/>
    </row>
    <row r="43" spans="3:59" x14ac:dyDescent="0.2">
      <c r="C43" s="259"/>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1"/>
    </row>
    <row r="44" spans="3:59" ht="14.25" x14ac:dyDescent="0.25">
      <c r="C44" s="105"/>
      <c r="D44" s="105"/>
      <c r="E44" s="105"/>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row>
    <row r="45" spans="3:59" ht="14.25" x14ac:dyDescent="0.25">
      <c r="C45" s="252">
        <f>'Info General'!C43:BA43</f>
        <v>0</v>
      </c>
      <c r="D45" s="252"/>
      <c r="E45" s="252"/>
      <c r="F45" s="252"/>
      <c r="G45" s="252"/>
      <c r="H45" s="252"/>
      <c r="I45" s="252"/>
      <c r="J45" s="252"/>
      <c r="K45" s="252"/>
      <c r="L45" s="252"/>
      <c r="M45" s="252"/>
      <c r="N45" s="252"/>
      <c r="O45" s="252"/>
      <c r="P45" s="252"/>
      <c r="Q45" s="252"/>
      <c r="R45" s="252"/>
      <c r="S45" s="252"/>
      <c r="T45" s="252"/>
      <c r="U45" s="252"/>
      <c r="V45" s="252"/>
      <c r="W45" s="252"/>
      <c r="X45" s="252"/>
      <c r="Y45" s="252"/>
      <c r="Z45" s="252"/>
      <c r="AA45" s="252"/>
      <c r="AB45" s="252"/>
      <c r="AC45" s="252"/>
      <c r="AD45" s="252"/>
      <c r="AE45" s="252"/>
      <c r="AF45" s="252"/>
      <c r="AG45" s="252"/>
      <c r="AH45" s="252"/>
      <c r="AI45" s="252"/>
      <c r="AJ45" s="252"/>
      <c r="AK45" s="252"/>
      <c r="AL45" s="252"/>
      <c r="AM45" s="252"/>
      <c r="AN45" s="252"/>
      <c r="AO45" s="252"/>
      <c r="AP45" s="252"/>
      <c r="AQ45" s="252"/>
      <c r="AR45" s="252"/>
      <c r="AS45" s="252"/>
      <c r="AT45" s="252"/>
      <c r="AU45" s="252"/>
      <c r="AV45" s="252"/>
      <c r="AW45" s="252"/>
      <c r="AX45" s="252"/>
      <c r="AY45" s="252"/>
      <c r="AZ45" s="252"/>
      <c r="BA45" s="252"/>
    </row>
  </sheetData>
  <sheetProtection algorithmName="SHA-512" hashValue="BYa96zAGi41i8bjYlydmu42eVHxvUohYo0vR3CifW33R7GCef8agV/yDDsSQtSHGEBRM5TiycrnKGEaOxZSWKg==" saltValue="KabKVqvjYdO++SMqi84vow==" spinCount="100000" sheet="1" objects="1" scenarios="1" formatCells="0" formatRows="0" selectLockedCells="1" autoFilter="0"/>
  <mergeCells count="119">
    <mergeCell ref="F33:U33"/>
    <mergeCell ref="AA33:AE33"/>
    <mergeCell ref="AF33:AJ33"/>
    <mergeCell ref="C34:E34"/>
    <mergeCell ref="F34:U34"/>
    <mergeCell ref="AA34:AE34"/>
    <mergeCell ref="AF34:AJ34"/>
    <mergeCell ref="C24:E24"/>
    <mergeCell ref="F24:U24"/>
    <mergeCell ref="V24:X24"/>
    <mergeCell ref="Y24:AA24"/>
    <mergeCell ref="AB24:AD24"/>
    <mergeCell ref="AE24:AG24"/>
    <mergeCell ref="AH24:AJ24"/>
    <mergeCell ref="AF29:AJ29"/>
    <mergeCell ref="C45:BA45"/>
    <mergeCell ref="C37:P37"/>
    <mergeCell ref="C39:BA43"/>
    <mergeCell ref="C38:BA38"/>
    <mergeCell ref="C29:E29"/>
    <mergeCell ref="F29:U29"/>
    <mergeCell ref="V29:Z34"/>
    <mergeCell ref="AA29:AE29"/>
    <mergeCell ref="C30:E30"/>
    <mergeCell ref="F30:U30"/>
    <mergeCell ref="AA30:AE30"/>
    <mergeCell ref="AF30:AJ30"/>
    <mergeCell ref="C31:E31"/>
    <mergeCell ref="F31:U31"/>
    <mergeCell ref="AA31:AE31"/>
    <mergeCell ref="AF31:AJ31"/>
    <mergeCell ref="AF35:AJ35"/>
    <mergeCell ref="C35:Z35"/>
    <mergeCell ref="AA35:AE35"/>
    <mergeCell ref="C32:E32"/>
    <mergeCell ref="F32:U32"/>
    <mergeCell ref="AA32:AE32"/>
    <mergeCell ref="AF32:AJ32"/>
    <mergeCell ref="C33:E33"/>
    <mergeCell ref="V19:AM19"/>
    <mergeCell ref="F20:U20"/>
    <mergeCell ref="V20:X20"/>
    <mergeCell ref="C20:E20"/>
    <mergeCell ref="C19:U19"/>
    <mergeCell ref="R14:BA14"/>
    <mergeCell ref="C28:E28"/>
    <mergeCell ref="F28:U28"/>
    <mergeCell ref="V28:Z28"/>
    <mergeCell ref="AA28:AE28"/>
    <mergeCell ref="AF28:AJ28"/>
    <mergeCell ref="AK24:AM24"/>
    <mergeCell ref="AN24:AT24"/>
    <mergeCell ref="AU24:BA24"/>
    <mergeCell ref="C26:U26"/>
    <mergeCell ref="V26:X26"/>
    <mergeCell ref="Y26:AA26"/>
    <mergeCell ref="AU20:BA20"/>
    <mergeCell ref="Y20:AA20"/>
    <mergeCell ref="AU26:BA26"/>
    <mergeCell ref="AB26:AM26"/>
    <mergeCell ref="AN26:AT26"/>
    <mergeCell ref="AB20:AD20"/>
    <mergeCell ref="AE20:AG20"/>
    <mergeCell ref="C10:Q10"/>
    <mergeCell ref="R10:BA10"/>
    <mergeCell ref="C11:Q11"/>
    <mergeCell ref="R11:BA11"/>
    <mergeCell ref="R8:BA8"/>
    <mergeCell ref="C9:Q9"/>
    <mergeCell ref="R9:BA9"/>
    <mergeCell ref="C14:Q14"/>
    <mergeCell ref="C17:P17"/>
    <mergeCell ref="C13:Q13"/>
    <mergeCell ref="C2:BA5"/>
    <mergeCell ref="Q6:BA6"/>
    <mergeCell ref="C25:BA25"/>
    <mergeCell ref="C18:BA18"/>
    <mergeCell ref="AH21:AJ21"/>
    <mergeCell ref="AK21:AM21"/>
    <mergeCell ref="AN21:AT21"/>
    <mergeCell ref="AU21:BA21"/>
    <mergeCell ref="C21:E21"/>
    <mergeCell ref="F21:U21"/>
    <mergeCell ref="V21:X21"/>
    <mergeCell ref="Y21:AA21"/>
    <mergeCell ref="AB21:AD21"/>
    <mergeCell ref="AE21:AG21"/>
    <mergeCell ref="AK20:AM20"/>
    <mergeCell ref="AN19:BA19"/>
    <mergeCell ref="C6:P6"/>
    <mergeCell ref="C7:BA7"/>
    <mergeCell ref="R13:BA13"/>
    <mergeCell ref="C15:Q15"/>
    <mergeCell ref="R15:BA15"/>
    <mergeCell ref="C12:Q12"/>
    <mergeCell ref="R12:BA12"/>
    <mergeCell ref="C8:Q8"/>
    <mergeCell ref="AH20:AJ20"/>
    <mergeCell ref="AN20:AT20"/>
    <mergeCell ref="C22:E22"/>
    <mergeCell ref="F22:U22"/>
    <mergeCell ref="V22:X22"/>
    <mergeCell ref="Y22:AA22"/>
    <mergeCell ref="AU22:BA22"/>
    <mergeCell ref="C23:E23"/>
    <mergeCell ref="F23:U23"/>
    <mergeCell ref="V23:X23"/>
    <mergeCell ref="Y23:AA23"/>
    <mergeCell ref="AB23:AD23"/>
    <mergeCell ref="AE23:AG23"/>
    <mergeCell ref="AH23:AJ23"/>
    <mergeCell ref="AK23:AM23"/>
    <mergeCell ref="AN23:AT23"/>
    <mergeCell ref="AU23:BA23"/>
    <mergeCell ref="AB22:AD22"/>
    <mergeCell ref="AE22:AG22"/>
    <mergeCell ref="AH22:AJ22"/>
    <mergeCell ref="AK22:AM22"/>
    <mergeCell ref="AN22:AT22"/>
  </mergeCells>
  <pageMargins left="0.25" right="0.25" top="0.75" bottom="0.75" header="0.3" footer="0.3"/>
  <pageSetup scale="98" fitToHeight="0" orientation="landscape" r:id="rId1"/>
  <drawing r:id="rId2"/>
  <legacyDrawing r:id="rId3"/>
  <controls>
    <mc:AlternateContent xmlns:mc="http://schemas.openxmlformats.org/markup-compatibility/2006">
      <mc:Choice Requires="x14">
        <control shapeId="10263" r:id="rId4" name="btnPDFResumen">
          <controlPr defaultSize="0" autoLine="0" r:id="rId5">
            <anchor moveWithCells="1">
              <from>
                <xdr:col>57</xdr:col>
                <xdr:colOff>161925</xdr:colOff>
                <xdr:row>1</xdr:row>
                <xdr:rowOff>152400</xdr:rowOff>
              </from>
              <to>
                <xdr:col>71</xdr:col>
                <xdr:colOff>152400</xdr:colOff>
                <xdr:row>5</xdr:row>
                <xdr:rowOff>171450</xdr:rowOff>
              </to>
            </anchor>
          </controlPr>
        </control>
      </mc:Choice>
      <mc:Fallback>
        <control shapeId="10263" r:id="rId4" name="btnPDFResume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rgb="FF0070C0"/>
  </sheetPr>
  <dimension ref="A2:BJ66"/>
  <sheetViews>
    <sheetView showGridLines="0" topLeftCell="A27" zoomScale="105" zoomScaleNormal="105" workbookViewId="0">
      <selection activeCell="AY27" sqref="AY27:BA27"/>
    </sheetView>
  </sheetViews>
  <sheetFormatPr baseColWidth="10" defaultColWidth="2.7109375" defaultRowHeight="12.75" x14ac:dyDescent="0.2"/>
  <cols>
    <col min="1" max="16384" width="2.7109375" style="36"/>
  </cols>
  <sheetData>
    <row r="2" spans="3:62" x14ac:dyDescent="0.2">
      <c r="C2" s="295" t="s">
        <v>54</v>
      </c>
      <c r="D2" s="295"/>
      <c r="E2" s="295"/>
      <c r="F2" s="295"/>
      <c r="G2" s="295"/>
      <c r="H2" s="295"/>
      <c r="I2" s="295"/>
      <c r="J2" s="295"/>
      <c r="K2" s="295"/>
      <c r="L2" s="295"/>
      <c r="M2" s="295"/>
      <c r="N2" s="295"/>
      <c r="O2" s="296"/>
      <c r="P2" s="300"/>
      <c r="Q2" s="301"/>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row>
    <row r="3" spans="3:62" x14ac:dyDescent="0.2">
      <c r="C3" s="293"/>
      <c r="D3" s="293"/>
      <c r="E3" s="293"/>
      <c r="F3" s="293"/>
      <c r="G3" s="293"/>
      <c r="H3" s="293"/>
      <c r="I3" s="293"/>
      <c r="J3" s="293"/>
      <c r="K3" s="293"/>
      <c r="L3" s="293"/>
      <c r="M3" s="293"/>
      <c r="N3" s="293"/>
      <c r="O3" s="293"/>
      <c r="P3" s="293"/>
      <c r="Q3" s="293"/>
      <c r="R3" s="294"/>
      <c r="S3" s="294"/>
      <c r="T3" s="294"/>
      <c r="U3" s="294"/>
      <c r="V3" s="294"/>
      <c r="W3" s="294"/>
      <c r="X3" s="294"/>
      <c r="Y3" s="294"/>
      <c r="Z3" s="294"/>
      <c r="AA3" s="294"/>
      <c r="AB3" s="294"/>
      <c r="AC3" s="294"/>
      <c r="AD3" s="294"/>
      <c r="AE3" s="294"/>
      <c r="AF3" s="294"/>
      <c r="AG3" s="294"/>
      <c r="AH3" s="294"/>
      <c r="AI3" s="294"/>
      <c r="AJ3" s="294"/>
      <c r="AK3" s="294"/>
      <c r="AL3" s="294"/>
      <c r="AM3" s="294"/>
      <c r="AN3" s="294"/>
      <c r="AO3" s="294"/>
      <c r="AP3" s="294"/>
      <c r="AQ3" s="294"/>
      <c r="AR3" s="294"/>
      <c r="AS3" s="294"/>
      <c r="AT3" s="294"/>
      <c r="AU3" s="294"/>
      <c r="AV3" s="294"/>
      <c r="AW3" s="294"/>
      <c r="AX3" s="294"/>
      <c r="AY3" s="294"/>
      <c r="AZ3" s="294"/>
      <c r="BA3" s="294"/>
      <c r="BB3" s="10"/>
      <c r="BC3" s="10"/>
      <c r="BD3" s="10"/>
      <c r="BE3" s="10"/>
      <c r="BF3" s="10"/>
      <c r="BG3" s="10"/>
      <c r="BH3" s="10"/>
      <c r="BI3" s="10"/>
      <c r="BJ3" s="10"/>
    </row>
    <row r="4" spans="3:62" x14ac:dyDescent="0.2">
      <c r="C4" s="297" t="s">
        <v>283</v>
      </c>
      <c r="D4" s="297"/>
      <c r="E4" s="297"/>
      <c r="F4" s="297"/>
      <c r="G4" s="297"/>
      <c r="H4" s="297"/>
      <c r="I4" s="297"/>
      <c r="J4" s="297"/>
      <c r="K4" s="297"/>
      <c r="L4" s="297"/>
      <c r="M4" s="297"/>
      <c r="N4" s="297"/>
      <c r="O4" s="297"/>
      <c r="P4" s="297"/>
      <c r="Q4" s="297"/>
      <c r="R4" s="298" t="s">
        <v>286</v>
      </c>
      <c r="S4" s="298"/>
      <c r="T4" s="298"/>
      <c r="U4" s="298"/>
      <c r="V4" s="298"/>
      <c r="W4" s="298"/>
      <c r="X4" s="298"/>
      <c r="Y4" s="298"/>
      <c r="Z4" s="298"/>
      <c r="AA4" s="298"/>
      <c r="AB4" s="298"/>
      <c r="AC4" s="298"/>
      <c r="AD4" s="298"/>
      <c r="AE4" s="298"/>
      <c r="AF4" s="298"/>
      <c r="AG4" s="298"/>
      <c r="AH4" s="298"/>
      <c r="AI4" s="298"/>
      <c r="AJ4" s="298"/>
      <c r="AK4" s="298"/>
      <c r="AL4" s="298"/>
      <c r="AM4" s="298"/>
      <c r="AN4" s="298"/>
      <c r="AO4" s="298"/>
      <c r="AP4" s="298"/>
      <c r="AQ4" s="298"/>
      <c r="AR4" s="297" t="s">
        <v>284</v>
      </c>
      <c r="AS4" s="297"/>
      <c r="AT4" s="297"/>
      <c r="AU4" s="297"/>
      <c r="AV4" s="297"/>
      <c r="AW4" s="299">
        <v>1</v>
      </c>
      <c r="AX4" s="299"/>
      <c r="AY4" s="299"/>
      <c r="AZ4" s="299"/>
      <c r="BA4" s="299"/>
      <c r="BB4" s="10"/>
      <c r="BC4" s="10"/>
      <c r="BD4" s="10"/>
      <c r="BE4" s="10"/>
      <c r="BF4" s="10"/>
      <c r="BG4" s="10"/>
      <c r="BH4" s="10"/>
      <c r="BI4" s="10"/>
      <c r="BJ4" s="10"/>
    </row>
    <row r="5" spans="3:62" x14ac:dyDescent="0.2">
      <c r="C5" s="297" t="s">
        <v>33</v>
      </c>
      <c r="D5" s="297"/>
      <c r="E5" s="297"/>
      <c r="F5" s="297"/>
      <c r="G5" s="297"/>
      <c r="H5" s="297"/>
      <c r="I5" s="297"/>
      <c r="J5" s="297"/>
      <c r="K5" s="297"/>
      <c r="L5" s="297"/>
      <c r="M5" s="297"/>
      <c r="N5" s="297"/>
      <c r="O5" s="297"/>
      <c r="P5" s="297"/>
      <c r="Q5" s="297"/>
      <c r="R5" s="298" t="s">
        <v>287</v>
      </c>
      <c r="S5" s="298"/>
      <c r="T5" s="298"/>
      <c r="U5" s="298"/>
      <c r="V5" s="298"/>
      <c r="W5" s="298"/>
      <c r="X5" s="298"/>
      <c r="Y5" s="298"/>
      <c r="Z5" s="298"/>
      <c r="AA5" s="298"/>
      <c r="AB5" s="298"/>
      <c r="AC5" s="298"/>
      <c r="AD5" s="298"/>
      <c r="AE5" s="298"/>
      <c r="AF5" s="298"/>
      <c r="AG5" s="298"/>
      <c r="AH5" s="298"/>
      <c r="AI5" s="298"/>
      <c r="AJ5" s="298"/>
      <c r="AK5" s="298"/>
      <c r="AL5" s="298"/>
      <c r="AM5" s="298"/>
      <c r="AN5" s="298"/>
      <c r="AO5" s="298"/>
      <c r="AP5" s="298"/>
      <c r="AQ5" s="298"/>
      <c r="AR5" s="298"/>
      <c r="AS5" s="298"/>
      <c r="AT5" s="298"/>
      <c r="AU5" s="298"/>
      <c r="AV5" s="298"/>
      <c r="AW5" s="298"/>
      <c r="AX5" s="298"/>
      <c r="AY5" s="298"/>
      <c r="AZ5" s="298"/>
      <c r="BA5" s="298"/>
      <c r="BB5" s="10"/>
      <c r="BC5" s="10"/>
      <c r="BD5" s="10"/>
      <c r="BE5" s="10"/>
      <c r="BF5" s="10"/>
      <c r="BG5" s="10"/>
      <c r="BH5" s="10"/>
      <c r="BI5" s="10"/>
      <c r="BJ5" s="10"/>
    </row>
    <row r="6" spans="3:62" ht="29.25" customHeight="1" x14ac:dyDescent="0.2">
      <c r="C6" s="297" t="s">
        <v>193</v>
      </c>
      <c r="D6" s="297"/>
      <c r="E6" s="297"/>
      <c r="F6" s="297"/>
      <c r="G6" s="297"/>
      <c r="H6" s="297"/>
      <c r="I6" s="297"/>
      <c r="J6" s="297"/>
      <c r="K6" s="297"/>
      <c r="L6" s="297"/>
      <c r="M6" s="297"/>
      <c r="N6" s="297"/>
      <c r="O6" s="297"/>
      <c r="P6" s="297"/>
      <c r="Q6" s="297"/>
      <c r="R6" s="302" t="s">
        <v>290</v>
      </c>
      <c r="S6" s="303"/>
      <c r="T6" s="303"/>
      <c r="U6" s="303"/>
      <c r="V6" s="303"/>
      <c r="W6" s="303"/>
      <c r="X6" s="303"/>
      <c r="Y6" s="303"/>
      <c r="Z6" s="303"/>
      <c r="AA6" s="303"/>
      <c r="AB6" s="303"/>
      <c r="AC6" s="303"/>
      <c r="AD6" s="303"/>
      <c r="AE6" s="303"/>
      <c r="AF6" s="303"/>
      <c r="AG6" s="303"/>
      <c r="AH6" s="303"/>
      <c r="AI6" s="303"/>
      <c r="AJ6" s="303"/>
      <c r="AK6" s="303"/>
      <c r="AL6" s="303"/>
      <c r="AM6" s="303"/>
      <c r="AN6" s="303"/>
      <c r="AO6" s="303"/>
      <c r="AP6" s="303"/>
      <c r="AQ6" s="303"/>
      <c r="AR6" s="303"/>
      <c r="AS6" s="303"/>
      <c r="AT6" s="303"/>
      <c r="AU6" s="303"/>
      <c r="AV6" s="303"/>
      <c r="AW6" s="303"/>
      <c r="AX6" s="303"/>
      <c r="AY6" s="303"/>
      <c r="AZ6" s="303"/>
      <c r="BA6" s="304"/>
      <c r="BB6" s="10"/>
      <c r="BC6" s="10"/>
      <c r="BD6" s="10"/>
      <c r="BE6" s="10"/>
      <c r="BF6" s="10"/>
      <c r="BG6" s="10"/>
      <c r="BH6" s="10"/>
      <c r="BI6" s="10"/>
      <c r="BJ6" s="10"/>
    </row>
    <row r="7" spans="3:62" x14ac:dyDescent="0.2">
      <c r="C7" s="297" t="s">
        <v>219</v>
      </c>
      <c r="D7" s="297"/>
      <c r="E7" s="297"/>
      <c r="F7" s="297"/>
      <c r="G7" s="297"/>
      <c r="H7" s="297"/>
      <c r="I7" s="297"/>
      <c r="J7" s="297"/>
      <c r="K7" s="297"/>
      <c r="L7" s="297"/>
      <c r="M7" s="297"/>
      <c r="N7" s="297"/>
      <c r="O7" s="297"/>
      <c r="P7" s="297"/>
      <c r="Q7" s="297"/>
      <c r="R7" s="305" t="s">
        <v>294</v>
      </c>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7"/>
      <c r="BB7" s="10"/>
      <c r="BC7" s="10"/>
      <c r="BD7" s="10"/>
      <c r="BE7" s="10"/>
      <c r="BF7" s="10"/>
      <c r="BG7" s="10"/>
      <c r="BH7" s="10"/>
      <c r="BI7" s="10"/>
      <c r="BJ7" s="10"/>
    </row>
    <row r="8" spans="3:62" ht="12.75" customHeight="1" x14ac:dyDescent="0.2">
      <c r="C8" s="308" t="s">
        <v>51</v>
      </c>
      <c r="D8" s="309"/>
      <c r="E8" s="309"/>
      <c r="F8" s="309"/>
      <c r="G8" s="309"/>
      <c r="H8" s="309"/>
      <c r="I8" s="309"/>
      <c r="J8" s="309"/>
      <c r="K8" s="309"/>
      <c r="L8" s="309"/>
      <c r="M8" s="309"/>
      <c r="N8" s="309"/>
      <c r="O8" s="309"/>
      <c r="P8" s="309"/>
      <c r="Q8" s="310"/>
      <c r="R8" s="305" t="s">
        <v>128</v>
      </c>
      <c r="S8" s="306"/>
      <c r="T8" s="306"/>
      <c r="U8" s="306"/>
      <c r="V8" s="306"/>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7"/>
      <c r="BB8" s="10"/>
      <c r="BC8" s="10"/>
      <c r="BD8" s="10"/>
      <c r="BE8" s="10"/>
      <c r="BF8" s="10"/>
      <c r="BG8" s="10"/>
      <c r="BH8" s="10"/>
      <c r="BI8" s="10"/>
      <c r="BJ8" s="10"/>
    </row>
    <row r="9" spans="3:62" x14ac:dyDescent="0.2">
      <c r="C9" s="297" t="s">
        <v>34</v>
      </c>
      <c r="D9" s="297"/>
      <c r="E9" s="297"/>
      <c r="F9" s="297"/>
      <c r="G9" s="297"/>
      <c r="H9" s="297"/>
      <c r="I9" s="297"/>
      <c r="J9" s="297"/>
      <c r="K9" s="297"/>
      <c r="L9" s="297"/>
      <c r="M9" s="297"/>
      <c r="N9" s="297"/>
      <c r="O9" s="297"/>
      <c r="P9" s="297"/>
      <c r="Q9" s="297"/>
      <c r="R9" s="305" t="s">
        <v>288</v>
      </c>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7"/>
      <c r="BB9" s="10"/>
      <c r="BC9" s="10"/>
      <c r="BD9" s="10"/>
      <c r="BE9" s="10"/>
      <c r="BF9" s="10"/>
      <c r="BG9" s="10"/>
      <c r="BH9" s="10"/>
      <c r="BI9" s="10"/>
      <c r="BJ9" s="10"/>
    </row>
    <row r="10" spans="3:62" x14ac:dyDescent="0.2">
      <c r="C10" s="297" t="s">
        <v>35</v>
      </c>
      <c r="D10" s="297"/>
      <c r="E10" s="297"/>
      <c r="F10" s="297"/>
      <c r="G10" s="297"/>
      <c r="H10" s="297"/>
      <c r="I10" s="297"/>
      <c r="J10" s="297"/>
      <c r="K10" s="297"/>
      <c r="L10" s="297"/>
      <c r="M10" s="297"/>
      <c r="N10" s="297"/>
      <c r="O10" s="297"/>
      <c r="P10" s="297"/>
      <c r="Q10" s="297"/>
      <c r="R10" s="305" t="s">
        <v>289</v>
      </c>
      <c r="S10" s="306"/>
      <c r="T10" s="306"/>
      <c r="U10" s="306"/>
      <c r="V10" s="306"/>
      <c r="W10" s="306"/>
      <c r="X10" s="306"/>
      <c r="Y10" s="306"/>
      <c r="Z10" s="306"/>
      <c r="AA10" s="306"/>
      <c r="AB10" s="306"/>
      <c r="AC10" s="306"/>
      <c r="AD10" s="306"/>
      <c r="AE10" s="306"/>
      <c r="AF10" s="306"/>
      <c r="AG10" s="306"/>
      <c r="AH10" s="306"/>
      <c r="AI10" s="306"/>
      <c r="AJ10" s="306"/>
      <c r="AK10" s="306"/>
      <c r="AL10" s="306"/>
      <c r="AM10" s="306"/>
      <c r="AN10" s="306"/>
      <c r="AO10" s="306"/>
      <c r="AP10" s="306"/>
      <c r="AQ10" s="306"/>
      <c r="AR10" s="306"/>
      <c r="AS10" s="306"/>
      <c r="AT10" s="306"/>
      <c r="AU10" s="306"/>
      <c r="AV10" s="306"/>
      <c r="AW10" s="306"/>
      <c r="AX10" s="306"/>
      <c r="AY10" s="306"/>
      <c r="AZ10" s="306"/>
      <c r="BA10" s="307"/>
      <c r="BB10" s="10"/>
      <c r="BC10" s="10"/>
      <c r="BD10" s="10"/>
      <c r="BE10" s="10"/>
      <c r="BF10" s="10"/>
      <c r="BG10" s="10"/>
      <c r="BH10" s="10"/>
      <c r="BI10" s="10"/>
      <c r="BJ10" s="10"/>
    </row>
    <row r="11" spans="3:62" x14ac:dyDescent="0.2">
      <c r="C11" s="308" t="s">
        <v>36</v>
      </c>
      <c r="D11" s="309"/>
      <c r="E11" s="309"/>
      <c r="F11" s="309"/>
      <c r="G11" s="309"/>
      <c r="H11" s="309"/>
      <c r="I11" s="309"/>
      <c r="J11" s="309"/>
      <c r="K11" s="309"/>
      <c r="L11" s="309"/>
      <c r="M11" s="309"/>
      <c r="N11" s="309"/>
      <c r="O11" s="309"/>
      <c r="P11" s="309"/>
      <c r="Q11" s="310"/>
      <c r="R11" s="305" t="s">
        <v>287</v>
      </c>
      <c r="S11" s="306"/>
      <c r="T11" s="306"/>
      <c r="U11" s="306"/>
      <c r="V11" s="306"/>
      <c r="W11" s="306"/>
      <c r="X11" s="306"/>
      <c r="Y11" s="306"/>
      <c r="Z11" s="306"/>
      <c r="AA11" s="306"/>
      <c r="AB11" s="306"/>
      <c r="AC11" s="306"/>
      <c r="AD11" s="306"/>
      <c r="AE11" s="306"/>
      <c r="AF11" s="306"/>
      <c r="AG11" s="306"/>
      <c r="AH11" s="306"/>
      <c r="AI11" s="306"/>
      <c r="AJ11" s="306"/>
      <c r="AK11" s="306"/>
      <c r="AL11" s="306"/>
      <c r="AM11" s="306"/>
      <c r="AN11" s="306"/>
      <c r="AO11" s="306"/>
      <c r="AP11" s="306"/>
      <c r="AQ11" s="306"/>
      <c r="AR11" s="306"/>
      <c r="AS11" s="306"/>
      <c r="AT11" s="306"/>
      <c r="AU11" s="306"/>
      <c r="AV11" s="306"/>
      <c r="AW11" s="306"/>
      <c r="AX11" s="306"/>
      <c r="AY11" s="306"/>
      <c r="AZ11" s="306"/>
      <c r="BA11" s="307"/>
      <c r="BB11" s="10"/>
      <c r="BC11" s="10"/>
      <c r="BD11" s="10"/>
      <c r="BE11" s="10"/>
      <c r="BF11" s="10"/>
      <c r="BG11" s="10"/>
      <c r="BH11" s="10"/>
      <c r="BI11" s="10"/>
      <c r="BJ11" s="10"/>
    </row>
    <row r="12" spans="3:62" x14ac:dyDescent="0.2">
      <c r="C12" s="308" t="s">
        <v>64</v>
      </c>
      <c r="D12" s="309"/>
      <c r="E12" s="309"/>
      <c r="F12" s="309"/>
      <c r="G12" s="309"/>
      <c r="H12" s="309"/>
      <c r="I12" s="309"/>
      <c r="J12" s="309"/>
      <c r="K12" s="309"/>
      <c r="L12" s="309"/>
      <c r="M12" s="309"/>
      <c r="N12" s="309"/>
      <c r="O12" s="309"/>
      <c r="P12" s="309"/>
      <c r="Q12" s="310"/>
      <c r="R12" s="305" t="s">
        <v>122</v>
      </c>
      <c r="S12" s="306"/>
      <c r="T12" s="306"/>
      <c r="U12" s="306"/>
      <c r="V12" s="306"/>
      <c r="W12" s="306"/>
      <c r="X12" s="306"/>
      <c r="Y12" s="306"/>
      <c r="Z12" s="306"/>
      <c r="AA12" s="306"/>
      <c r="AB12" s="306"/>
      <c r="AC12" s="306"/>
      <c r="AD12" s="306"/>
      <c r="AE12" s="306"/>
      <c r="AF12" s="306"/>
      <c r="AG12" s="306"/>
      <c r="AH12" s="306"/>
      <c r="AI12" s="306"/>
      <c r="AJ12" s="306"/>
      <c r="AK12" s="306"/>
      <c r="AL12" s="306"/>
      <c r="AM12" s="306"/>
      <c r="AN12" s="306"/>
      <c r="AO12" s="306"/>
      <c r="AP12" s="306"/>
      <c r="AQ12" s="306"/>
      <c r="AR12" s="306"/>
      <c r="AS12" s="306"/>
      <c r="AT12" s="306"/>
      <c r="AU12" s="306"/>
      <c r="AV12" s="306"/>
      <c r="AW12" s="306"/>
      <c r="AX12" s="306"/>
      <c r="AY12" s="306"/>
      <c r="AZ12" s="306"/>
      <c r="BA12" s="307"/>
      <c r="BB12" s="10"/>
      <c r="BC12" s="10"/>
      <c r="BD12" s="10"/>
      <c r="BE12" s="10"/>
      <c r="BF12" s="10"/>
      <c r="BG12" s="10"/>
      <c r="BH12" s="10"/>
      <c r="BI12" s="10"/>
      <c r="BJ12" s="10"/>
    </row>
    <row r="13" spans="3:62" x14ac:dyDescent="0.2">
      <c r="C13" s="308" t="s">
        <v>220</v>
      </c>
      <c r="D13" s="309"/>
      <c r="E13" s="309"/>
      <c r="F13" s="309"/>
      <c r="G13" s="309"/>
      <c r="H13" s="309"/>
      <c r="I13" s="309"/>
      <c r="J13" s="309"/>
      <c r="K13" s="309"/>
      <c r="L13" s="309"/>
      <c r="M13" s="309"/>
      <c r="N13" s="309"/>
      <c r="O13" s="309"/>
      <c r="P13" s="309"/>
      <c r="Q13" s="310"/>
      <c r="R13" s="305" t="s">
        <v>122</v>
      </c>
      <c r="S13" s="306"/>
      <c r="T13" s="306"/>
      <c r="U13" s="306"/>
      <c r="V13" s="306"/>
      <c r="W13" s="306"/>
      <c r="X13" s="306"/>
      <c r="Y13" s="306"/>
      <c r="Z13" s="306"/>
      <c r="AA13" s="306"/>
      <c r="AB13" s="306"/>
      <c r="AC13" s="306"/>
      <c r="AD13" s="306"/>
      <c r="AE13" s="306"/>
      <c r="AF13" s="306"/>
      <c r="AG13" s="306"/>
      <c r="AH13" s="306"/>
      <c r="AI13" s="306"/>
      <c r="AJ13" s="306"/>
      <c r="AK13" s="306"/>
      <c r="AL13" s="306"/>
      <c r="AM13" s="306"/>
      <c r="AN13" s="306"/>
      <c r="AO13" s="306"/>
      <c r="AP13" s="306"/>
      <c r="AQ13" s="306"/>
      <c r="AR13" s="306"/>
      <c r="AS13" s="306"/>
      <c r="AT13" s="306"/>
      <c r="AU13" s="306"/>
      <c r="AV13" s="306"/>
      <c r="AW13" s="306"/>
      <c r="AX13" s="306"/>
      <c r="AY13" s="306"/>
      <c r="AZ13" s="306"/>
      <c r="BA13" s="307"/>
      <c r="BB13" s="10"/>
      <c r="BC13" s="10"/>
      <c r="BD13" s="10"/>
      <c r="BE13" s="10"/>
      <c r="BF13" s="10"/>
      <c r="BG13" s="10"/>
      <c r="BH13" s="10"/>
      <c r="BI13" s="10"/>
      <c r="BJ13" s="10"/>
    </row>
    <row r="14" spans="3:62" x14ac:dyDescent="0.2">
      <c r="C14" s="308" t="s">
        <v>65</v>
      </c>
      <c r="D14" s="309"/>
      <c r="E14" s="309"/>
      <c r="F14" s="309"/>
      <c r="G14" s="309"/>
      <c r="H14" s="309"/>
      <c r="I14" s="309"/>
      <c r="J14" s="309"/>
      <c r="K14" s="309"/>
      <c r="L14" s="309"/>
      <c r="M14" s="309"/>
      <c r="N14" s="309"/>
      <c r="O14" s="309"/>
      <c r="P14" s="309"/>
      <c r="Q14" s="310"/>
      <c r="R14" s="305" t="s">
        <v>122</v>
      </c>
      <c r="S14" s="306"/>
      <c r="T14" s="306"/>
      <c r="U14" s="306"/>
      <c r="V14" s="306"/>
      <c r="W14" s="306"/>
      <c r="X14" s="306"/>
      <c r="Y14" s="306"/>
      <c r="Z14" s="306"/>
      <c r="AA14" s="306"/>
      <c r="AB14" s="306"/>
      <c r="AC14" s="306"/>
      <c r="AD14" s="306"/>
      <c r="AE14" s="306"/>
      <c r="AF14" s="306"/>
      <c r="AG14" s="306"/>
      <c r="AH14" s="306"/>
      <c r="AI14" s="306"/>
      <c r="AJ14" s="306"/>
      <c r="AK14" s="306"/>
      <c r="AL14" s="306"/>
      <c r="AM14" s="306"/>
      <c r="AN14" s="306"/>
      <c r="AO14" s="306"/>
      <c r="AP14" s="306"/>
      <c r="AQ14" s="306"/>
      <c r="AR14" s="306"/>
      <c r="AS14" s="306"/>
      <c r="AT14" s="306"/>
      <c r="AU14" s="306"/>
      <c r="AV14" s="306"/>
      <c r="AW14" s="306"/>
      <c r="AX14" s="306"/>
      <c r="AY14" s="306"/>
      <c r="AZ14" s="306"/>
      <c r="BA14" s="307"/>
      <c r="BB14" s="10"/>
      <c r="BC14" s="10"/>
      <c r="BD14" s="10"/>
      <c r="BE14" s="10"/>
      <c r="BF14" s="10"/>
      <c r="BG14" s="10"/>
      <c r="BH14" s="10"/>
      <c r="BI14" s="10"/>
      <c r="BJ14" s="10"/>
    </row>
    <row r="15" spans="3:62" x14ac:dyDescent="0.2">
      <c r="C15" s="308" t="s">
        <v>52</v>
      </c>
      <c r="D15" s="309"/>
      <c r="E15" s="309"/>
      <c r="F15" s="309"/>
      <c r="G15" s="309"/>
      <c r="H15" s="309"/>
      <c r="I15" s="309"/>
      <c r="J15" s="309"/>
      <c r="K15" s="309"/>
      <c r="L15" s="309"/>
      <c r="M15" s="309"/>
      <c r="N15" s="309"/>
      <c r="O15" s="309"/>
      <c r="P15" s="309"/>
      <c r="Q15" s="310"/>
      <c r="R15" s="305">
        <v>5</v>
      </c>
      <c r="S15" s="306"/>
      <c r="T15" s="306"/>
      <c r="U15" s="306"/>
      <c r="V15" s="306"/>
      <c r="W15" s="306"/>
      <c r="X15" s="306"/>
      <c r="Y15" s="306"/>
      <c r="Z15" s="306"/>
      <c r="AA15" s="306"/>
      <c r="AB15" s="306"/>
      <c r="AC15" s="306"/>
      <c r="AD15" s="306"/>
      <c r="AE15" s="306"/>
      <c r="AF15" s="306"/>
      <c r="AG15" s="306"/>
      <c r="AH15" s="306"/>
      <c r="AI15" s="306"/>
      <c r="AJ15" s="306"/>
      <c r="AK15" s="306"/>
      <c r="AL15" s="306"/>
      <c r="AM15" s="306"/>
      <c r="AN15" s="306"/>
      <c r="AO15" s="306"/>
      <c r="AP15" s="306"/>
      <c r="AQ15" s="306"/>
      <c r="AR15" s="306"/>
      <c r="AS15" s="306"/>
      <c r="AT15" s="306"/>
      <c r="AU15" s="306"/>
      <c r="AV15" s="306"/>
      <c r="AW15" s="306"/>
      <c r="AX15" s="306"/>
      <c r="AY15" s="306"/>
      <c r="AZ15" s="306"/>
      <c r="BA15" s="307"/>
      <c r="BB15" s="10"/>
      <c r="BC15" s="10"/>
      <c r="BD15" s="10"/>
      <c r="BE15" s="10"/>
      <c r="BF15" s="10"/>
      <c r="BG15" s="10"/>
      <c r="BH15" s="10"/>
      <c r="BI15" s="10"/>
      <c r="BJ15" s="10"/>
    </row>
    <row r="16" spans="3:62" x14ac:dyDescent="0.2">
      <c r="C16" s="297" t="s">
        <v>280</v>
      </c>
      <c r="D16" s="297"/>
      <c r="E16" s="297"/>
      <c r="F16" s="297"/>
      <c r="G16" s="297"/>
      <c r="H16" s="297"/>
      <c r="I16" s="297"/>
      <c r="J16" s="297"/>
      <c r="K16" s="297"/>
      <c r="L16" s="297"/>
      <c r="M16" s="297"/>
      <c r="N16" s="297"/>
      <c r="O16" s="297"/>
      <c r="P16" s="297"/>
      <c r="Q16" s="297"/>
      <c r="R16" s="311">
        <v>44321</v>
      </c>
      <c r="S16" s="311"/>
      <c r="T16" s="311"/>
      <c r="U16" s="311"/>
      <c r="V16" s="311"/>
      <c r="W16" s="311"/>
      <c r="X16" s="311"/>
      <c r="Y16" s="311"/>
      <c r="Z16" s="311"/>
      <c r="AA16" s="311"/>
      <c r="AB16" s="311"/>
      <c r="AC16" s="311"/>
      <c r="AD16" s="311"/>
      <c r="AE16" s="311"/>
      <c r="AF16" s="311"/>
      <c r="AG16" s="311"/>
      <c r="AH16" s="311"/>
      <c r="AI16" s="311"/>
      <c r="AJ16" s="311"/>
      <c r="AK16" s="311"/>
      <c r="AL16" s="311"/>
      <c r="AM16" s="311"/>
      <c r="AN16" s="311"/>
      <c r="AO16" s="311"/>
      <c r="AP16" s="311"/>
      <c r="AQ16" s="311"/>
      <c r="AR16" s="311"/>
      <c r="AS16" s="311"/>
      <c r="AT16" s="311"/>
      <c r="AU16" s="311"/>
      <c r="AV16" s="311"/>
      <c r="AW16" s="311"/>
      <c r="AX16" s="311"/>
      <c r="AY16" s="311"/>
      <c r="AZ16" s="311"/>
      <c r="BA16" s="311"/>
      <c r="BB16" s="10"/>
      <c r="BC16" s="10"/>
      <c r="BD16" s="10"/>
      <c r="BE16" s="10"/>
      <c r="BF16" s="10"/>
      <c r="BG16" s="10"/>
      <c r="BH16" s="10"/>
      <c r="BI16" s="10"/>
      <c r="BJ16" s="10"/>
    </row>
    <row r="17" spans="1:62" x14ac:dyDescent="0.2">
      <c r="C17" s="37"/>
      <c r="D17" s="37"/>
      <c r="E17" s="37"/>
      <c r="F17" s="37"/>
      <c r="G17" s="37"/>
      <c r="H17" s="37"/>
      <c r="I17" s="37"/>
      <c r="J17" s="37"/>
      <c r="K17" s="37"/>
      <c r="L17" s="37"/>
      <c r="M17" s="37"/>
      <c r="N17" s="37"/>
      <c r="O17" s="37"/>
      <c r="P17" s="37"/>
      <c r="Q17" s="37"/>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10"/>
      <c r="BC17" s="10"/>
      <c r="BD17" s="10"/>
      <c r="BE17" s="10"/>
      <c r="BF17" s="10"/>
      <c r="BG17" s="10"/>
      <c r="BH17" s="10"/>
      <c r="BI17" s="10"/>
      <c r="BJ17" s="10"/>
    </row>
    <row r="18" spans="1:62" x14ac:dyDescent="0.2">
      <c r="C18" s="295" t="s">
        <v>130</v>
      </c>
      <c r="D18" s="295"/>
      <c r="E18" s="295"/>
      <c r="F18" s="295"/>
      <c r="G18" s="295"/>
      <c r="H18" s="295"/>
      <c r="I18" s="295"/>
      <c r="J18" s="295"/>
      <c r="K18" s="295"/>
      <c r="L18" s="295"/>
      <c r="M18" s="295"/>
      <c r="N18" s="295"/>
      <c r="O18" s="295"/>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10"/>
      <c r="BC18" s="10"/>
      <c r="BD18" s="10"/>
      <c r="BE18" s="10"/>
      <c r="BF18" s="10"/>
      <c r="BG18" s="10"/>
      <c r="BH18" s="10"/>
      <c r="BI18" s="10"/>
      <c r="BJ18" s="10"/>
    </row>
    <row r="19" spans="1:62" x14ac:dyDescent="0.2">
      <c r="C19" s="40"/>
      <c r="D19" s="40"/>
      <c r="E19" s="40"/>
      <c r="F19" s="40"/>
      <c r="G19" s="40"/>
      <c r="H19" s="40"/>
      <c r="I19" s="40"/>
      <c r="J19" s="40"/>
      <c r="K19" s="40"/>
      <c r="L19" s="40"/>
      <c r="M19" s="40"/>
      <c r="N19" s="40"/>
      <c r="O19" s="4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row>
    <row r="20" spans="1:62" x14ac:dyDescent="0.2">
      <c r="C20" s="40"/>
      <c r="D20" s="40"/>
      <c r="E20" s="40"/>
      <c r="F20" s="40"/>
      <c r="G20" s="40"/>
      <c r="H20" s="40"/>
      <c r="I20" s="40"/>
      <c r="J20" s="74"/>
      <c r="K20" s="74"/>
      <c r="L20" s="74"/>
      <c r="M20" s="74"/>
      <c r="N20" s="74"/>
      <c r="O20" s="4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row>
    <row r="21" spans="1:62" x14ac:dyDescent="0.2">
      <c r="C21" s="40"/>
      <c r="D21" s="40"/>
      <c r="E21" s="40"/>
      <c r="F21" s="40"/>
      <c r="G21" s="40"/>
      <c r="H21" s="40"/>
      <c r="I21" s="40"/>
      <c r="J21" s="74"/>
      <c r="K21" s="74"/>
      <c r="L21" s="74"/>
      <c r="M21" s="74"/>
      <c r="N21" s="74"/>
      <c r="O21" s="4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row>
    <row r="22" spans="1:62" x14ac:dyDescent="0.2">
      <c r="A22" s="41"/>
      <c r="C22" s="37"/>
      <c r="D22" s="37"/>
      <c r="E22" s="37"/>
      <c r="F22" s="37"/>
      <c r="G22" s="37"/>
      <c r="H22" s="37"/>
      <c r="I22" s="37"/>
      <c r="J22" s="37"/>
      <c r="K22" s="37"/>
      <c r="L22" s="37"/>
      <c r="M22" s="37"/>
      <c r="N22" s="37"/>
      <c r="O22" s="37"/>
      <c r="P22" s="37"/>
      <c r="Q22" s="37"/>
      <c r="R22" s="38"/>
      <c r="S22" s="38"/>
      <c r="T22" s="38"/>
      <c r="U22" s="38"/>
      <c r="V22" s="38"/>
      <c r="W22" s="38"/>
      <c r="X22" s="38"/>
      <c r="Y22" s="38"/>
      <c r="Z22" s="38"/>
      <c r="AA22" s="38"/>
      <c r="AB22" s="38"/>
      <c r="AC22" s="10"/>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10"/>
      <c r="BC22" s="10"/>
      <c r="BD22" s="10"/>
      <c r="BE22" s="10"/>
      <c r="BF22" s="10"/>
      <c r="BG22" s="10"/>
      <c r="BH22" s="10"/>
      <c r="BI22" s="10"/>
      <c r="BJ22" s="10"/>
    </row>
    <row r="23" spans="1:62" x14ac:dyDescent="0.2">
      <c r="A23" s="41" t="s">
        <v>162</v>
      </c>
      <c r="C23" s="313" t="s">
        <v>31</v>
      </c>
      <c r="D23" s="313"/>
      <c r="E23" s="313"/>
      <c r="F23" s="313" t="s">
        <v>131</v>
      </c>
      <c r="G23" s="313"/>
      <c r="H23" s="313"/>
      <c r="I23" s="313"/>
      <c r="J23" s="313"/>
      <c r="K23" s="313"/>
      <c r="L23" s="313"/>
      <c r="M23" s="313"/>
      <c r="N23" s="313"/>
      <c r="O23" s="313"/>
      <c r="P23" s="313"/>
      <c r="Q23" s="313"/>
      <c r="R23" s="313"/>
      <c r="S23" s="313"/>
      <c r="T23" s="313"/>
      <c r="U23" s="313" t="s">
        <v>107</v>
      </c>
      <c r="V23" s="313"/>
      <c r="W23" s="313"/>
      <c r="X23" s="313"/>
      <c r="Y23" s="313"/>
      <c r="Z23" s="313"/>
      <c r="AA23" s="313"/>
      <c r="AB23" s="313"/>
      <c r="AC23" s="313"/>
      <c r="AD23" s="313"/>
      <c r="AE23" s="313"/>
      <c r="AF23" s="313"/>
      <c r="AG23" s="313"/>
      <c r="AH23" s="313"/>
      <c r="AI23" s="313"/>
      <c r="AJ23" s="313"/>
      <c r="AK23" s="313"/>
      <c r="AL23" s="313"/>
      <c r="AM23" s="313"/>
      <c r="AN23" s="313"/>
      <c r="AO23" s="313"/>
      <c r="AP23" s="313"/>
      <c r="AQ23" s="313"/>
      <c r="AR23" s="313"/>
      <c r="AS23" s="314" t="s">
        <v>94</v>
      </c>
      <c r="AT23" s="314"/>
      <c r="AU23" s="314"/>
      <c r="AV23" s="314" t="s">
        <v>133</v>
      </c>
      <c r="AW23" s="314"/>
      <c r="AX23" s="314"/>
      <c r="AY23" s="314" t="s">
        <v>132</v>
      </c>
      <c r="AZ23" s="314"/>
      <c r="BA23" s="314"/>
      <c r="BB23" s="10"/>
      <c r="BC23" s="10"/>
      <c r="BD23" s="10"/>
      <c r="BE23" s="10"/>
      <c r="BF23" s="10"/>
      <c r="BG23" s="10"/>
      <c r="BH23" s="10"/>
      <c r="BI23" s="10"/>
      <c r="BJ23" s="10"/>
    </row>
    <row r="24" spans="1:62" ht="211.5" customHeight="1" x14ac:dyDescent="0.2">
      <c r="A24" s="41"/>
      <c r="C24" s="281" t="s">
        <v>291</v>
      </c>
      <c r="D24" s="282"/>
      <c r="E24" s="283"/>
      <c r="F24" s="284" t="s">
        <v>307</v>
      </c>
      <c r="G24" s="285"/>
      <c r="H24" s="285"/>
      <c r="I24" s="285"/>
      <c r="J24" s="285"/>
      <c r="K24" s="285"/>
      <c r="L24" s="285"/>
      <c r="M24" s="285"/>
      <c r="N24" s="285"/>
      <c r="O24" s="285"/>
      <c r="P24" s="285"/>
      <c r="Q24" s="285"/>
      <c r="R24" s="285"/>
      <c r="S24" s="285"/>
      <c r="T24" s="286"/>
      <c r="U24" s="287" t="s">
        <v>308</v>
      </c>
      <c r="V24" s="288"/>
      <c r="W24" s="288"/>
      <c r="X24" s="288"/>
      <c r="Y24" s="288"/>
      <c r="Z24" s="288"/>
      <c r="AA24" s="288"/>
      <c r="AB24" s="288"/>
      <c r="AC24" s="288"/>
      <c r="AD24" s="288"/>
      <c r="AE24" s="288"/>
      <c r="AF24" s="288"/>
      <c r="AG24" s="288"/>
      <c r="AH24" s="288"/>
      <c r="AI24" s="288"/>
      <c r="AJ24" s="288"/>
      <c r="AK24" s="288"/>
      <c r="AL24" s="288"/>
      <c r="AM24" s="288"/>
      <c r="AN24" s="288"/>
      <c r="AO24" s="288"/>
      <c r="AP24" s="288"/>
      <c r="AQ24" s="288"/>
      <c r="AR24" s="289"/>
      <c r="AS24" s="278" t="s">
        <v>30</v>
      </c>
      <c r="AT24" s="279"/>
      <c r="AU24" s="280"/>
      <c r="AV24" s="278" t="s">
        <v>122</v>
      </c>
      <c r="AW24" s="279"/>
      <c r="AX24" s="280"/>
      <c r="AY24" s="278" t="s">
        <v>122</v>
      </c>
      <c r="AZ24" s="279"/>
      <c r="BA24" s="280"/>
      <c r="BB24" s="10"/>
      <c r="BC24" s="10"/>
      <c r="BD24" s="10"/>
      <c r="BE24" s="10"/>
      <c r="BF24" s="10"/>
      <c r="BG24" s="10"/>
      <c r="BH24" s="10"/>
      <c r="BI24" s="10"/>
      <c r="BJ24" s="10"/>
    </row>
    <row r="25" spans="1:62" ht="194.25" customHeight="1" x14ac:dyDescent="0.2">
      <c r="A25" s="41"/>
      <c r="C25" s="281" t="s">
        <v>292</v>
      </c>
      <c r="D25" s="282"/>
      <c r="E25" s="283"/>
      <c r="F25" s="284" t="s">
        <v>301</v>
      </c>
      <c r="G25" s="285"/>
      <c r="H25" s="285"/>
      <c r="I25" s="285"/>
      <c r="J25" s="285"/>
      <c r="K25" s="285"/>
      <c r="L25" s="285"/>
      <c r="M25" s="285"/>
      <c r="N25" s="285"/>
      <c r="O25" s="285"/>
      <c r="P25" s="285"/>
      <c r="Q25" s="285"/>
      <c r="R25" s="285"/>
      <c r="S25" s="285"/>
      <c r="T25" s="286"/>
      <c r="U25" s="287" t="s">
        <v>305</v>
      </c>
      <c r="V25" s="288"/>
      <c r="W25" s="288"/>
      <c r="X25" s="288"/>
      <c r="Y25" s="288"/>
      <c r="Z25" s="288"/>
      <c r="AA25" s="288"/>
      <c r="AB25" s="288"/>
      <c r="AC25" s="288"/>
      <c r="AD25" s="288"/>
      <c r="AE25" s="288"/>
      <c r="AF25" s="288"/>
      <c r="AG25" s="288"/>
      <c r="AH25" s="288"/>
      <c r="AI25" s="288"/>
      <c r="AJ25" s="288"/>
      <c r="AK25" s="288"/>
      <c r="AL25" s="288"/>
      <c r="AM25" s="288"/>
      <c r="AN25" s="288"/>
      <c r="AO25" s="288"/>
      <c r="AP25" s="288"/>
      <c r="AQ25" s="288"/>
      <c r="AR25" s="289"/>
      <c r="AS25" s="278" t="s">
        <v>30</v>
      </c>
      <c r="AT25" s="279"/>
      <c r="AU25" s="280"/>
      <c r="AV25" s="278" t="s">
        <v>122</v>
      </c>
      <c r="AW25" s="279"/>
      <c r="AX25" s="280"/>
      <c r="AY25" s="278" t="s">
        <v>122</v>
      </c>
      <c r="AZ25" s="279"/>
      <c r="BA25" s="280"/>
      <c r="BB25" s="10"/>
      <c r="BC25" s="10"/>
      <c r="BD25" s="10"/>
      <c r="BE25" s="10"/>
      <c r="BF25" s="10"/>
      <c r="BG25" s="10"/>
      <c r="BH25" s="10"/>
      <c r="BI25" s="10"/>
      <c r="BJ25" s="10"/>
    </row>
    <row r="26" spans="1:62" ht="241.5" customHeight="1" x14ac:dyDescent="0.2">
      <c r="A26" s="41"/>
      <c r="C26" s="281" t="s">
        <v>300</v>
      </c>
      <c r="D26" s="282"/>
      <c r="E26" s="283"/>
      <c r="F26" s="284" t="s">
        <v>303</v>
      </c>
      <c r="G26" s="285"/>
      <c r="H26" s="285"/>
      <c r="I26" s="285"/>
      <c r="J26" s="285"/>
      <c r="K26" s="285"/>
      <c r="L26" s="285"/>
      <c r="M26" s="285"/>
      <c r="N26" s="285"/>
      <c r="O26" s="285"/>
      <c r="P26" s="285"/>
      <c r="Q26" s="285"/>
      <c r="R26" s="285"/>
      <c r="S26" s="285"/>
      <c r="T26" s="286"/>
      <c r="U26" s="287" t="s">
        <v>306</v>
      </c>
      <c r="V26" s="288"/>
      <c r="W26" s="288"/>
      <c r="X26" s="288"/>
      <c r="Y26" s="288"/>
      <c r="Z26" s="288"/>
      <c r="AA26" s="288"/>
      <c r="AB26" s="288"/>
      <c r="AC26" s="288"/>
      <c r="AD26" s="288"/>
      <c r="AE26" s="288"/>
      <c r="AF26" s="288"/>
      <c r="AG26" s="288"/>
      <c r="AH26" s="288"/>
      <c r="AI26" s="288"/>
      <c r="AJ26" s="288"/>
      <c r="AK26" s="288"/>
      <c r="AL26" s="288"/>
      <c r="AM26" s="288"/>
      <c r="AN26" s="288"/>
      <c r="AO26" s="288"/>
      <c r="AP26" s="288"/>
      <c r="AQ26" s="288"/>
      <c r="AR26" s="289"/>
      <c r="AS26" s="290"/>
      <c r="AT26" s="291"/>
      <c r="AU26" s="292"/>
      <c r="AV26" s="290"/>
      <c r="AW26" s="291"/>
      <c r="AX26" s="292"/>
      <c r="AY26" s="290"/>
      <c r="AZ26" s="291"/>
      <c r="BA26" s="292"/>
      <c r="BB26" s="10"/>
      <c r="BC26" s="10"/>
      <c r="BD26" s="10"/>
      <c r="BE26" s="10"/>
      <c r="BF26" s="10"/>
      <c r="BG26" s="10"/>
      <c r="BH26" s="10"/>
      <c r="BI26" s="10"/>
      <c r="BJ26" s="10"/>
    </row>
    <row r="27" spans="1:62" ht="141.75" customHeight="1" x14ac:dyDescent="0.2">
      <c r="A27" s="41"/>
      <c r="C27" s="281" t="s">
        <v>302</v>
      </c>
      <c r="D27" s="282"/>
      <c r="E27" s="283"/>
      <c r="F27" s="284" t="s">
        <v>304</v>
      </c>
      <c r="G27" s="285"/>
      <c r="H27" s="285"/>
      <c r="I27" s="285"/>
      <c r="J27" s="285"/>
      <c r="K27" s="285"/>
      <c r="L27" s="285"/>
      <c r="M27" s="285"/>
      <c r="N27" s="285"/>
      <c r="O27" s="285"/>
      <c r="P27" s="285"/>
      <c r="Q27" s="285"/>
      <c r="R27" s="285"/>
      <c r="S27" s="285"/>
      <c r="T27" s="286"/>
      <c r="U27" s="287" t="s">
        <v>393</v>
      </c>
      <c r="V27" s="288"/>
      <c r="W27" s="288"/>
      <c r="X27" s="288"/>
      <c r="Y27" s="288"/>
      <c r="Z27" s="288"/>
      <c r="AA27" s="288"/>
      <c r="AB27" s="288"/>
      <c r="AC27" s="288"/>
      <c r="AD27" s="288"/>
      <c r="AE27" s="288"/>
      <c r="AF27" s="288"/>
      <c r="AG27" s="288"/>
      <c r="AH27" s="288"/>
      <c r="AI27" s="288"/>
      <c r="AJ27" s="288"/>
      <c r="AK27" s="288"/>
      <c r="AL27" s="288"/>
      <c r="AM27" s="288"/>
      <c r="AN27" s="288"/>
      <c r="AO27" s="288"/>
      <c r="AP27" s="288"/>
      <c r="AQ27" s="288"/>
      <c r="AR27" s="289"/>
      <c r="AS27" s="290" t="s">
        <v>30</v>
      </c>
      <c r="AT27" s="291"/>
      <c r="AU27" s="292"/>
      <c r="AV27" s="290" t="s">
        <v>122</v>
      </c>
      <c r="AW27" s="291"/>
      <c r="AX27" s="292"/>
      <c r="AY27" s="290" t="s">
        <v>122</v>
      </c>
      <c r="AZ27" s="291"/>
      <c r="BA27" s="292"/>
      <c r="BB27" s="10"/>
      <c r="BC27" s="10"/>
      <c r="BD27" s="10"/>
      <c r="BE27" s="10"/>
      <c r="BF27" s="10"/>
      <c r="BG27" s="10"/>
      <c r="BH27" s="10"/>
      <c r="BI27" s="10"/>
      <c r="BJ27" s="10"/>
    </row>
    <row r="28" spans="1:62" x14ac:dyDescent="0.2">
      <c r="A28" s="81" t="s">
        <v>161</v>
      </c>
      <c r="C28" s="313"/>
      <c r="D28" s="313"/>
      <c r="E28" s="313"/>
      <c r="F28" s="313"/>
      <c r="G28" s="313"/>
      <c r="H28" s="313"/>
      <c r="I28" s="313"/>
      <c r="J28" s="313"/>
      <c r="K28" s="313"/>
      <c r="L28" s="313"/>
      <c r="M28" s="313"/>
      <c r="N28" s="313"/>
      <c r="O28" s="313"/>
      <c r="P28" s="313"/>
      <c r="Q28" s="313"/>
      <c r="R28" s="313"/>
      <c r="S28" s="313"/>
      <c r="T28" s="313"/>
      <c r="U28" s="313"/>
      <c r="V28" s="313"/>
      <c r="W28" s="313"/>
      <c r="X28" s="313"/>
      <c r="Y28" s="313"/>
      <c r="Z28" s="313"/>
      <c r="AA28" s="313"/>
      <c r="AB28" s="313"/>
      <c r="AC28" s="313"/>
      <c r="AD28" s="313"/>
      <c r="AE28" s="313"/>
      <c r="AF28" s="313"/>
      <c r="AG28" s="313"/>
      <c r="AH28" s="313"/>
      <c r="AI28" s="313"/>
      <c r="AJ28" s="313"/>
      <c r="AK28" s="313"/>
      <c r="AL28" s="313"/>
      <c r="AM28" s="313"/>
      <c r="AN28" s="313"/>
      <c r="AO28" s="313"/>
      <c r="AP28" s="313"/>
      <c r="AQ28" s="313"/>
      <c r="AR28" s="313"/>
      <c r="AS28" s="313"/>
      <c r="AT28" s="313"/>
      <c r="AU28" s="313"/>
      <c r="AV28" s="313"/>
      <c r="AW28" s="313"/>
      <c r="AX28" s="313"/>
      <c r="AY28" s="313"/>
      <c r="AZ28" s="313"/>
      <c r="BA28" s="313"/>
      <c r="BB28" s="10"/>
      <c r="BC28" s="10"/>
      <c r="BD28" s="10"/>
      <c r="BE28" s="10"/>
      <c r="BF28" s="10"/>
      <c r="BG28" s="10"/>
      <c r="BH28" s="10"/>
      <c r="BI28" s="10"/>
      <c r="BJ28" s="10"/>
    </row>
    <row r="29" spans="1:62" x14ac:dyDescent="0.2">
      <c r="A29" s="41"/>
      <c r="C29" s="37"/>
      <c r="D29" s="37"/>
      <c r="E29" s="37"/>
      <c r="F29" s="37"/>
      <c r="G29" s="37"/>
      <c r="H29" s="37"/>
      <c r="I29" s="37"/>
      <c r="J29" s="37"/>
      <c r="K29" s="37"/>
      <c r="L29" s="37"/>
      <c r="M29" s="37"/>
      <c r="N29" s="37"/>
      <c r="O29" s="37"/>
      <c r="P29" s="37"/>
      <c r="Q29" s="37"/>
      <c r="R29" s="38"/>
      <c r="S29" s="38"/>
      <c r="T29" s="38"/>
      <c r="U29" s="38"/>
      <c r="V29" s="38"/>
      <c r="W29" s="38"/>
      <c r="X29" s="38"/>
      <c r="Y29" s="38"/>
      <c r="Z29" s="38"/>
      <c r="AA29" s="38"/>
      <c r="AB29" s="38"/>
      <c r="AC29" s="42"/>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10"/>
      <c r="BC29" s="10"/>
      <c r="BD29" s="10"/>
      <c r="BE29" s="10"/>
      <c r="BF29" s="10"/>
      <c r="BG29" s="10"/>
      <c r="BH29" s="10"/>
      <c r="BI29" s="10"/>
      <c r="BJ29" s="10"/>
    </row>
    <row r="30" spans="1:62" x14ac:dyDescent="0.2">
      <c r="C30" s="295" t="s">
        <v>53</v>
      </c>
      <c r="D30" s="295"/>
      <c r="E30" s="295"/>
      <c r="F30" s="295"/>
      <c r="G30" s="295"/>
      <c r="H30" s="295"/>
      <c r="I30" s="295"/>
      <c r="J30" s="295"/>
      <c r="K30" s="295"/>
      <c r="L30" s="295"/>
      <c r="M30" s="295"/>
      <c r="N30" s="295"/>
      <c r="O30" s="295"/>
      <c r="P30" s="43"/>
      <c r="Q30" s="43"/>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10"/>
      <c r="BC30" s="10"/>
      <c r="BD30" s="10"/>
      <c r="BE30" s="10"/>
      <c r="BF30" s="10"/>
      <c r="BG30" s="10"/>
      <c r="BH30" s="10"/>
      <c r="BI30" s="10"/>
      <c r="BJ30" s="10"/>
    </row>
    <row r="31" spans="1:62" x14ac:dyDescent="0.2">
      <c r="C31" s="45"/>
      <c r="D31" s="45"/>
      <c r="E31" s="45"/>
      <c r="F31" s="45"/>
      <c r="G31" s="45"/>
      <c r="H31" s="45"/>
      <c r="I31" s="45"/>
      <c r="J31" s="45"/>
      <c r="K31" s="45"/>
      <c r="L31" s="45"/>
      <c r="M31" s="45"/>
      <c r="N31" s="45"/>
      <c r="O31" s="45"/>
      <c r="P31" s="46"/>
      <c r="Q31" s="46"/>
      <c r="R31" s="46"/>
      <c r="S31" s="46"/>
      <c r="T31" s="46"/>
      <c r="U31" s="46"/>
      <c r="V31" s="46"/>
      <c r="W31" s="46"/>
      <c r="X31" s="46"/>
      <c r="Y31" s="46"/>
      <c r="Z31" s="46"/>
      <c r="AA31" s="46"/>
      <c r="AB31" s="46"/>
      <c r="AC31" s="38"/>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10"/>
      <c r="BC31" s="10"/>
      <c r="BD31" s="10"/>
      <c r="BE31" s="10"/>
      <c r="BF31" s="10"/>
      <c r="BG31" s="10"/>
      <c r="BH31" s="10"/>
      <c r="BI31" s="10"/>
      <c r="BJ31" s="10"/>
    </row>
    <row r="32" spans="1:62" x14ac:dyDescent="0.2">
      <c r="C32" s="297" t="s">
        <v>61</v>
      </c>
      <c r="D32" s="297"/>
      <c r="E32" s="297"/>
      <c r="F32" s="297"/>
      <c r="G32" s="297"/>
      <c r="H32" s="297"/>
      <c r="I32" s="297"/>
      <c r="J32" s="297"/>
      <c r="K32" s="297"/>
      <c r="L32" s="297"/>
      <c r="M32" s="297"/>
      <c r="N32" s="297"/>
      <c r="O32" s="297"/>
      <c r="P32" s="297"/>
      <c r="Q32" s="297"/>
      <c r="R32" s="315" t="s">
        <v>125</v>
      </c>
      <c r="S32" s="316"/>
      <c r="T32" s="316"/>
      <c r="U32" s="316"/>
      <c r="V32" s="316"/>
      <c r="W32" s="316"/>
      <c r="X32" s="316"/>
      <c r="Y32" s="316"/>
      <c r="Z32" s="316"/>
      <c r="AA32" s="316"/>
      <c r="AB32" s="316"/>
      <c r="AC32" s="316"/>
      <c r="AD32" s="316"/>
      <c r="AE32" s="316"/>
      <c r="AF32" s="316"/>
      <c r="AG32" s="316"/>
      <c r="AH32" s="316"/>
      <c r="AI32" s="316"/>
      <c r="AJ32" s="316"/>
      <c r="AK32" s="316"/>
      <c r="AL32" s="316"/>
      <c r="AM32" s="316"/>
      <c r="AN32" s="316"/>
      <c r="AO32" s="316"/>
      <c r="AP32" s="316"/>
      <c r="AQ32" s="316"/>
      <c r="AR32" s="316"/>
      <c r="AS32" s="316"/>
      <c r="AT32" s="316"/>
      <c r="AU32" s="316"/>
      <c r="AV32" s="316"/>
      <c r="AW32" s="316"/>
      <c r="AX32" s="316"/>
      <c r="AY32" s="316"/>
      <c r="AZ32" s="316"/>
      <c r="BA32" s="317"/>
      <c r="BB32" s="10"/>
      <c r="BC32" s="10"/>
      <c r="BD32" s="10"/>
      <c r="BE32" s="10"/>
      <c r="BF32" s="10"/>
      <c r="BG32" s="10"/>
      <c r="BH32" s="10"/>
      <c r="BI32" s="10"/>
      <c r="BJ32" s="10"/>
    </row>
    <row r="33" spans="3:62" x14ac:dyDescent="0.2">
      <c r="C33" s="297" t="s">
        <v>62</v>
      </c>
      <c r="D33" s="297"/>
      <c r="E33" s="297"/>
      <c r="F33" s="297"/>
      <c r="G33" s="297"/>
      <c r="H33" s="297"/>
      <c r="I33" s="297"/>
      <c r="J33" s="297"/>
      <c r="K33" s="297"/>
      <c r="L33" s="297"/>
      <c r="M33" s="297"/>
      <c r="N33" s="297"/>
      <c r="O33" s="297"/>
      <c r="P33" s="297"/>
      <c r="Q33" s="297"/>
      <c r="R33" s="315" t="s">
        <v>125</v>
      </c>
      <c r="S33" s="316"/>
      <c r="T33" s="316"/>
      <c r="U33" s="316"/>
      <c r="V33" s="316"/>
      <c r="W33" s="316"/>
      <c r="X33" s="316"/>
      <c r="Y33" s="316"/>
      <c r="Z33" s="316"/>
      <c r="AA33" s="316"/>
      <c r="AB33" s="316"/>
      <c r="AC33" s="316"/>
      <c r="AD33" s="316"/>
      <c r="AE33" s="316"/>
      <c r="AF33" s="316"/>
      <c r="AG33" s="316"/>
      <c r="AH33" s="316"/>
      <c r="AI33" s="316"/>
      <c r="AJ33" s="316"/>
      <c r="AK33" s="316"/>
      <c r="AL33" s="316"/>
      <c r="AM33" s="316"/>
      <c r="AN33" s="316"/>
      <c r="AO33" s="316"/>
      <c r="AP33" s="316"/>
      <c r="AQ33" s="316"/>
      <c r="AR33" s="316"/>
      <c r="AS33" s="316"/>
      <c r="AT33" s="316"/>
      <c r="AU33" s="316"/>
      <c r="AV33" s="316"/>
      <c r="AW33" s="316"/>
      <c r="AX33" s="316"/>
      <c r="AY33" s="316"/>
      <c r="AZ33" s="316"/>
      <c r="BA33" s="317"/>
      <c r="BB33" s="10"/>
      <c r="BC33" s="10"/>
      <c r="BD33" s="10"/>
      <c r="BE33" s="10"/>
      <c r="BF33" s="10"/>
      <c r="BG33" s="10"/>
      <c r="BH33" s="10"/>
      <c r="BI33" s="10"/>
      <c r="BJ33" s="10"/>
    </row>
    <row r="34" spans="3:62" x14ac:dyDescent="0.2">
      <c r="C34" s="297" t="s">
        <v>55</v>
      </c>
      <c r="D34" s="297"/>
      <c r="E34" s="297"/>
      <c r="F34" s="297"/>
      <c r="G34" s="297"/>
      <c r="H34" s="297"/>
      <c r="I34" s="297"/>
      <c r="J34" s="297"/>
      <c r="K34" s="297"/>
      <c r="L34" s="297"/>
      <c r="M34" s="297"/>
      <c r="N34" s="297"/>
      <c r="O34" s="297"/>
      <c r="P34" s="297"/>
      <c r="Q34" s="297"/>
      <c r="R34" s="315" t="s">
        <v>295</v>
      </c>
      <c r="S34" s="316"/>
      <c r="T34" s="316"/>
      <c r="U34" s="316"/>
      <c r="V34" s="316"/>
      <c r="W34" s="316"/>
      <c r="X34" s="316"/>
      <c r="Y34" s="316"/>
      <c r="Z34" s="316"/>
      <c r="AA34" s="316"/>
      <c r="AB34" s="316"/>
      <c r="AC34" s="316"/>
      <c r="AD34" s="316"/>
      <c r="AE34" s="316"/>
      <c r="AF34" s="316"/>
      <c r="AG34" s="316"/>
      <c r="AH34" s="316"/>
      <c r="AI34" s="316"/>
      <c r="AJ34" s="316"/>
      <c r="AK34" s="316"/>
      <c r="AL34" s="316"/>
      <c r="AM34" s="316"/>
      <c r="AN34" s="316"/>
      <c r="AO34" s="316"/>
      <c r="AP34" s="316"/>
      <c r="AQ34" s="316"/>
      <c r="AR34" s="316"/>
      <c r="AS34" s="316"/>
      <c r="AT34" s="316"/>
      <c r="AU34" s="316"/>
      <c r="AV34" s="316"/>
      <c r="AW34" s="316"/>
      <c r="AX34" s="316"/>
      <c r="AY34" s="316"/>
      <c r="AZ34" s="316"/>
      <c r="BA34" s="317"/>
      <c r="BB34" s="10"/>
      <c r="BC34" s="10"/>
      <c r="BD34" s="10"/>
      <c r="BE34" s="10"/>
      <c r="BF34" s="10"/>
      <c r="BG34" s="10"/>
      <c r="BH34" s="10"/>
      <c r="BI34" s="10"/>
      <c r="BJ34" s="10"/>
    </row>
    <row r="35" spans="3:62" x14ac:dyDescent="0.2">
      <c r="C35" s="297" t="s">
        <v>56</v>
      </c>
      <c r="D35" s="297"/>
      <c r="E35" s="297"/>
      <c r="F35" s="297"/>
      <c r="G35" s="297"/>
      <c r="H35" s="297"/>
      <c r="I35" s="297"/>
      <c r="J35" s="297"/>
      <c r="K35" s="297"/>
      <c r="L35" s="297"/>
      <c r="M35" s="297"/>
      <c r="N35" s="297"/>
      <c r="O35" s="297"/>
      <c r="P35" s="297"/>
      <c r="Q35" s="297"/>
      <c r="R35" s="315" t="s">
        <v>121</v>
      </c>
      <c r="S35" s="316"/>
      <c r="T35" s="316"/>
      <c r="U35" s="316"/>
      <c r="V35" s="316"/>
      <c r="W35" s="316"/>
      <c r="X35" s="316"/>
      <c r="Y35" s="316"/>
      <c r="Z35" s="316"/>
      <c r="AA35" s="316"/>
      <c r="AB35" s="316"/>
      <c r="AC35" s="316"/>
      <c r="AD35" s="316"/>
      <c r="AE35" s="316"/>
      <c r="AF35" s="316"/>
      <c r="AG35" s="316"/>
      <c r="AH35" s="316"/>
      <c r="AI35" s="316"/>
      <c r="AJ35" s="316"/>
      <c r="AK35" s="316"/>
      <c r="AL35" s="316"/>
      <c r="AM35" s="316"/>
      <c r="AN35" s="316"/>
      <c r="AO35" s="316"/>
      <c r="AP35" s="316"/>
      <c r="AQ35" s="316"/>
      <c r="AR35" s="316"/>
      <c r="AS35" s="316"/>
      <c r="AT35" s="316"/>
      <c r="AU35" s="316"/>
      <c r="AV35" s="316"/>
      <c r="AW35" s="316"/>
      <c r="AX35" s="316"/>
      <c r="AY35" s="316"/>
      <c r="AZ35" s="316"/>
      <c r="BA35" s="317"/>
      <c r="BB35" s="10"/>
      <c r="BC35" s="10"/>
      <c r="BD35" s="10"/>
      <c r="BE35" s="10"/>
      <c r="BF35" s="10"/>
      <c r="BG35" s="10"/>
      <c r="BH35" s="10"/>
      <c r="BI35" s="10"/>
      <c r="BJ35" s="10"/>
    </row>
    <row r="36" spans="3:62" x14ac:dyDescent="0.2">
      <c r="C36" s="297" t="s">
        <v>57</v>
      </c>
      <c r="D36" s="297"/>
      <c r="E36" s="297"/>
      <c r="F36" s="297"/>
      <c r="G36" s="297"/>
      <c r="H36" s="297"/>
      <c r="I36" s="297"/>
      <c r="J36" s="297"/>
      <c r="K36" s="297"/>
      <c r="L36" s="297"/>
      <c r="M36" s="297"/>
      <c r="N36" s="297"/>
      <c r="O36" s="297"/>
      <c r="P36" s="297"/>
      <c r="Q36" s="297"/>
      <c r="R36" s="315"/>
      <c r="S36" s="316"/>
      <c r="T36" s="316"/>
      <c r="U36" s="316"/>
      <c r="V36" s="316"/>
      <c r="W36" s="316"/>
      <c r="X36" s="316"/>
      <c r="Y36" s="316"/>
      <c r="Z36" s="316"/>
      <c r="AA36" s="316"/>
      <c r="AB36" s="316"/>
      <c r="AC36" s="316"/>
      <c r="AD36" s="316"/>
      <c r="AE36" s="316"/>
      <c r="AF36" s="316"/>
      <c r="AG36" s="316"/>
      <c r="AH36" s="316"/>
      <c r="AI36" s="316"/>
      <c r="AJ36" s="316"/>
      <c r="AK36" s="316"/>
      <c r="AL36" s="316"/>
      <c r="AM36" s="316"/>
      <c r="AN36" s="316"/>
      <c r="AO36" s="316"/>
      <c r="AP36" s="316"/>
      <c r="AQ36" s="316"/>
      <c r="AR36" s="316"/>
      <c r="AS36" s="316"/>
      <c r="AT36" s="316"/>
      <c r="AU36" s="316"/>
      <c r="AV36" s="316"/>
      <c r="AW36" s="316"/>
      <c r="AX36" s="316"/>
      <c r="AY36" s="316"/>
      <c r="AZ36" s="316"/>
      <c r="BA36" s="317"/>
      <c r="BB36" s="10"/>
      <c r="BC36" s="10"/>
      <c r="BD36" s="10"/>
      <c r="BE36" s="10"/>
      <c r="BF36" s="10"/>
      <c r="BG36" s="10"/>
      <c r="BH36" s="10"/>
      <c r="BI36" s="10"/>
      <c r="BJ36" s="10"/>
    </row>
    <row r="37" spans="3:62" x14ac:dyDescent="0.2">
      <c r="C37" s="297" t="s">
        <v>58</v>
      </c>
      <c r="D37" s="297"/>
      <c r="E37" s="297"/>
      <c r="F37" s="297"/>
      <c r="G37" s="297"/>
      <c r="H37" s="297"/>
      <c r="I37" s="297"/>
      <c r="J37" s="297"/>
      <c r="K37" s="297"/>
      <c r="L37" s="297"/>
      <c r="M37" s="297"/>
      <c r="N37" s="297"/>
      <c r="O37" s="297"/>
      <c r="P37" s="297"/>
      <c r="Q37" s="297"/>
      <c r="R37" s="315" t="s">
        <v>122</v>
      </c>
      <c r="S37" s="316"/>
      <c r="T37" s="316"/>
      <c r="U37" s="316"/>
      <c r="V37" s="316"/>
      <c r="W37" s="316"/>
      <c r="X37" s="316"/>
      <c r="Y37" s="316"/>
      <c r="Z37" s="316"/>
      <c r="AA37" s="316"/>
      <c r="AB37" s="316"/>
      <c r="AC37" s="316"/>
      <c r="AD37" s="316"/>
      <c r="AE37" s="316"/>
      <c r="AF37" s="316"/>
      <c r="AG37" s="316"/>
      <c r="AH37" s="316"/>
      <c r="AI37" s="316"/>
      <c r="AJ37" s="316"/>
      <c r="AK37" s="316"/>
      <c r="AL37" s="316"/>
      <c r="AM37" s="316"/>
      <c r="AN37" s="316"/>
      <c r="AO37" s="316"/>
      <c r="AP37" s="316"/>
      <c r="AQ37" s="316"/>
      <c r="AR37" s="316"/>
      <c r="AS37" s="316"/>
      <c r="AT37" s="316"/>
      <c r="AU37" s="316"/>
      <c r="AV37" s="316"/>
      <c r="AW37" s="316"/>
      <c r="AX37" s="316"/>
      <c r="AY37" s="316"/>
      <c r="AZ37" s="316"/>
      <c r="BA37" s="317"/>
      <c r="BB37" s="10"/>
      <c r="BC37" s="10"/>
      <c r="BD37" s="10"/>
      <c r="BE37" s="10"/>
      <c r="BF37" s="10"/>
      <c r="BG37" s="10"/>
      <c r="BH37" s="10"/>
      <c r="BI37" s="10"/>
      <c r="BJ37" s="10"/>
    </row>
    <row r="38" spans="3:62" x14ac:dyDescent="0.2">
      <c r="C38" s="308" t="s">
        <v>221</v>
      </c>
      <c r="D38" s="309"/>
      <c r="E38" s="309"/>
      <c r="F38" s="309"/>
      <c r="G38" s="309"/>
      <c r="H38" s="309"/>
      <c r="I38" s="309"/>
      <c r="J38" s="309"/>
      <c r="K38" s="309"/>
      <c r="L38" s="309"/>
      <c r="M38" s="309"/>
      <c r="N38" s="309"/>
      <c r="O38" s="309"/>
      <c r="P38" s="309"/>
      <c r="Q38" s="310"/>
      <c r="R38" s="315" t="s">
        <v>122</v>
      </c>
      <c r="S38" s="316"/>
      <c r="T38" s="316"/>
      <c r="U38" s="316"/>
      <c r="V38" s="316"/>
      <c r="W38" s="316"/>
      <c r="X38" s="316"/>
      <c r="Y38" s="316"/>
      <c r="Z38" s="316"/>
      <c r="AA38" s="316"/>
      <c r="AB38" s="316"/>
      <c r="AC38" s="316"/>
      <c r="AD38" s="316"/>
      <c r="AE38" s="316"/>
      <c r="AF38" s="316"/>
      <c r="AG38" s="316"/>
      <c r="AH38" s="316"/>
      <c r="AI38" s="316"/>
      <c r="AJ38" s="316"/>
      <c r="AK38" s="316"/>
      <c r="AL38" s="316"/>
      <c r="AM38" s="316"/>
      <c r="AN38" s="316"/>
      <c r="AO38" s="316"/>
      <c r="AP38" s="316"/>
      <c r="AQ38" s="316"/>
      <c r="AR38" s="316"/>
      <c r="AS38" s="316"/>
      <c r="AT38" s="316"/>
      <c r="AU38" s="316"/>
      <c r="AV38" s="316"/>
      <c r="AW38" s="316"/>
      <c r="AX38" s="316"/>
      <c r="AY38" s="316"/>
      <c r="AZ38" s="316"/>
      <c r="BA38" s="317"/>
      <c r="BB38" s="10"/>
      <c r="BC38" s="10"/>
      <c r="BD38" s="10"/>
      <c r="BE38" s="10"/>
      <c r="BF38" s="10"/>
      <c r="BG38" s="10"/>
      <c r="BH38" s="10"/>
      <c r="BI38" s="10"/>
      <c r="BJ38" s="10"/>
    </row>
    <row r="39" spans="3:62" x14ac:dyDescent="0.2">
      <c r="C39" s="308" t="s">
        <v>222</v>
      </c>
      <c r="D39" s="309"/>
      <c r="E39" s="309"/>
      <c r="F39" s="309"/>
      <c r="G39" s="309"/>
      <c r="H39" s="309"/>
      <c r="I39" s="309"/>
      <c r="J39" s="309"/>
      <c r="K39" s="309"/>
      <c r="L39" s="309"/>
      <c r="M39" s="309"/>
      <c r="N39" s="309"/>
      <c r="O39" s="309"/>
      <c r="P39" s="309"/>
      <c r="Q39" s="310"/>
      <c r="R39" s="315" t="s">
        <v>122</v>
      </c>
      <c r="S39" s="316"/>
      <c r="T39" s="316"/>
      <c r="U39" s="316"/>
      <c r="V39" s="316"/>
      <c r="W39" s="316"/>
      <c r="X39" s="316"/>
      <c r="Y39" s="316"/>
      <c r="Z39" s="316"/>
      <c r="AA39" s="316"/>
      <c r="AB39" s="316"/>
      <c r="AC39" s="316"/>
      <c r="AD39" s="316"/>
      <c r="AE39" s="316"/>
      <c r="AF39" s="316"/>
      <c r="AG39" s="316"/>
      <c r="AH39" s="316"/>
      <c r="AI39" s="316"/>
      <c r="AJ39" s="316"/>
      <c r="AK39" s="316"/>
      <c r="AL39" s="316"/>
      <c r="AM39" s="316"/>
      <c r="AN39" s="316"/>
      <c r="AO39" s="316"/>
      <c r="AP39" s="316"/>
      <c r="AQ39" s="316"/>
      <c r="AR39" s="316"/>
      <c r="AS39" s="316"/>
      <c r="AT39" s="316"/>
      <c r="AU39" s="316"/>
      <c r="AV39" s="316"/>
      <c r="AW39" s="316"/>
      <c r="AX39" s="316"/>
      <c r="AY39" s="316"/>
      <c r="AZ39" s="316"/>
      <c r="BA39" s="317"/>
    </row>
    <row r="40" spans="3:62" x14ac:dyDescent="0.2">
      <c r="C40" s="297" t="s">
        <v>59</v>
      </c>
      <c r="D40" s="297"/>
      <c r="E40" s="297"/>
      <c r="F40" s="297"/>
      <c r="G40" s="297"/>
      <c r="H40" s="297"/>
      <c r="I40" s="297"/>
      <c r="J40" s="297"/>
      <c r="K40" s="297"/>
      <c r="L40" s="297"/>
      <c r="M40" s="297"/>
      <c r="N40" s="297"/>
      <c r="O40" s="297"/>
      <c r="P40" s="297"/>
      <c r="Q40" s="297"/>
      <c r="R40" s="315"/>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7"/>
      <c r="BB40" s="47"/>
      <c r="BC40" s="47"/>
      <c r="BD40" s="47"/>
      <c r="BE40" s="47"/>
      <c r="BF40" s="47"/>
      <c r="BG40" s="47"/>
      <c r="BH40" s="47"/>
      <c r="BI40" s="47"/>
      <c r="BJ40" s="47"/>
    </row>
    <row r="41" spans="3:62" x14ac:dyDescent="0.2">
      <c r="C41" s="297" t="s">
        <v>60</v>
      </c>
      <c r="D41" s="297"/>
      <c r="E41" s="297"/>
      <c r="F41" s="297"/>
      <c r="G41" s="297"/>
      <c r="H41" s="297"/>
      <c r="I41" s="297"/>
      <c r="J41" s="297"/>
      <c r="K41" s="297"/>
      <c r="L41" s="297"/>
      <c r="M41" s="297"/>
      <c r="N41" s="297"/>
      <c r="O41" s="297"/>
      <c r="P41" s="297"/>
      <c r="Q41" s="297"/>
      <c r="R41" s="315"/>
      <c r="S41" s="316"/>
      <c r="T41" s="316"/>
      <c r="U41" s="316"/>
      <c r="V41" s="316"/>
      <c r="W41" s="316"/>
      <c r="X41" s="316"/>
      <c r="Y41" s="316"/>
      <c r="Z41" s="316"/>
      <c r="AA41" s="316"/>
      <c r="AB41" s="316"/>
      <c r="AC41" s="316"/>
      <c r="AD41" s="316"/>
      <c r="AE41" s="316"/>
      <c r="AF41" s="316"/>
      <c r="AG41" s="316"/>
      <c r="AH41" s="316"/>
      <c r="AI41" s="316"/>
      <c r="AJ41" s="316"/>
      <c r="AK41" s="316"/>
      <c r="AL41" s="316"/>
      <c r="AM41" s="316"/>
      <c r="AN41" s="316"/>
      <c r="AO41" s="316"/>
      <c r="AP41" s="316"/>
      <c r="AQ41" s="316"/>
      <c r="AR41" s="316"/>
      <c r="AS41" s="316"/>
      <c r="AT41" s="316"/>
      <c r="AU41" s="316"/>
      <c r="AV41" s="316"/>
      <c r="AW41" s="316"/>
      <c r="AX41" s="316"/>
      <c r="AY41" s="316"/>
      <c r="AZ41" s="316"/>
      <c r="BA41" s="317"/>
      <c r="BB41" s="47"/>
      <c r="BC41" s="47"/>
      <c r="BD41" s="47"/>
      <c r="BE41" s="47"/>
      <c r="BF41" s="47"/>
      <c r="BG41" s="47"/>
      <c r="BH41" s="47"/>
      <c r="BI41" s="47"/>
      <c r="BJ41" s="47"/>
    </row>
    <row r="42" spans="3:62" x14ac:dyDescent="0.2">
      <c r="AC42" s="48"/>
      <c r="BB42" s="47"/>
      <c r="BC42" s="47"/>
      <c r="BD42" s="47"/>
      <c r="BE42" s="47"/>
      <c r="BF42" s="47"/>
      <c r="BG42" s="47"/>
      <c r="BH42" s="47"/>
      <c r="BI42" s="47"/>
      <c r="BJ42" s="47"/>
    </row>
    <row r="43" spans="3:62" x14ac:dyDescent="0.2">
      <c r="C43" s="312"/>
      <c r="D43" s="312"/>
      <c r="E43" s="312"/>
      <c r="F43" s="312"/>
      <c r="G43" s="312"/>
      <c r="H43" s="312"/>
      <c r="I43" s="312"/>
      <c r="J43" s="312"/>
      <c r="K43" s="312"/>
      <c r="L43" s="312"/>
      <c r="M43" s="312"/>
      <c r="N43" s="312"/>
      <c r="O43" s="312"/>
      <c r="P43" s="312"/>
      <c r="Q43" s="312"/>
      <c r="R43" s="312"/>
      <c r="S43" s="312"/>
      <c r="T43" s="312"/>
      <c r="U43" s="312"/>
      <c r="V43" s="312"/>
      <c r="W43" s="312"/>
      <c r="X43" s="312"/>
      <c r="Y43" s="312"/>
      <c r="Z43" s="312"/>
      <c r="AA43" s="312"/>
      <c r="AB43" s="312"/>
      <c r="AC43" s="312"/>
      <c r="AD43" s="312"/>
      <c r="AE43" s="312"/>
      <c r="AF43" s="312"/>
      <c r="AG43" s="312"/>
      <c r="AH43" s="312"/>
      <c r="AI43" s="312"/>
      <c r="AJ43" s="312"/>
      <c r="AK43" s="312"/>
      <c r="AL43" s="312"/>
      <c r="AM43" s="312"/>
      <c r="AN43" s="312"/>
      <c r="AO43" s="312"/>
      <c r="AP43" s="312"/>
      <c r="AQ43" s="312"/>
      <c r="AR43" s="312"/>
      <c r="AS43" s="312"/>
      <c r="AT43" s="312"/>
      <c r="AU43" s="312"/>
      <c r="AV43" s="312"/>
      <c r="AW43" s="312"/>
      <c r="AX43" s="312"/>
      <c r="AY43" s="312"/>
      <c r="AZ43" s="312"/>
      <c r="BA43" s="312"/>
      <c r="BB43" s="47"/>
      <c r="BC43" s="47"/>
      <c r="BD43" s="47"/>
      <c r="BE43" s="47"/>
      <c r="BF43" s="47"/>
      <c r="BG43" s="47"/>
      <c r="BH43" s="47"/>
      <c r="BI43" s="47"/>
      <c r="BJ43" s="47"/>
    </row>
    <row r="44" spans="3:62" x14ac:dyDescent="0.2">
      <c r="C44" s="49"/>
      <c r="D44" s="41"/>
      <c r="E44" s="41"/>
      <c r="F44" s="41"/>
      <c r="G44" s="41"/>
      <c r="H44" s="41"/>
      <c r="I44" s="41"/>
      <c r="J44" s="41"/>
      <c r="K44" s="41"/>
      <c r="L44" s="41"/>
      <c r="M44" s="41"/>
      <c r="N44" s="41"/>
      <c r="O44" s="41"/>
      <c r="AC44" s="50"/>
      <c r="BB44" s="47"/>
      <c r="BC44" s="47"/>
      <c r="BD44" s="47"/>
      <c r="BE44" s="47"/>
      <c r="BF44" s="47"/>
      <c r="BG44" s="47"/>
      <c r="BH44" s="47"/>
      <c r="BI44" s="47"/>
      <c r="BJ44" s="47"/>
    </row>
    <row r="45" spans="3:62" x14ac:dyDescent="0.2">
      <c r="AQ45" s="47"/>
      <c r="AR45" s="47"/>
      <c r="AS45" s="47"/>
      <c r="AT45" s="47"/>
      <c r="AU45" s="47"/>
      <c r="AV45" s="47"/>
      <c r="AW45" s="47"/>
      <c r="AX45" s="47"/>
      <c r="AY45" s="47"/>
      <c r="AZ45" s="47"/>
      <c r="BA45" s="47"/>
      <c r="BB45" s="47"/>
      <c r="BC45" s="47"/>
      <c r="BD45" s="47"/>
      <c r="BE45" s="47"/>
      <c r="BF45" s="47"/>
      <c r="BG45" s="47"/>
      <c r="BH45" s="47"/>
      <c r="BI45" s="47"/>
      <c r="BJ45" s="47"/>
    </row>
    <row r="46" spans="3:62" x14ac:dyDescent="0.2">
      <c r="C46" s="47"/>
      <c r="D46" s="47"/>
      <c r="E46" s="47"/>
      <c r="F46" s="47"/>
      <c r="G46" s="47"/>
      <c r="H46" s="47"/>
      <c r="I46" s="47"/>
      <c r="J46" s="47"/>
      <c r="K46" s="47"/>
      <c r="L46" s="47"/>
      <c r="M46" s="47"/>
      <c r="N46" s="47"/>
      <c r="O46" s="47"/>
      <c r="P46" s="47"/>
      <c r="Q46" s="47"/>
      <c r="R46" s="47"/>
      <c r="S46" s="47"/>
      <c r="T46" s="47"/>
      <c r="U46" s="47"/>
      <c r="W46" s="47"/>
      <c r="X46" s="47"/>
      <c r="Y46" s="47"/>
      <c r="Z46" s="47"/>
      <c r="AA46" s="47"/>
      <c r="AB46" s="47"/>
      <c r="AD46" s="47"/>
      <c r="AE46" s="47"/>
      <c r="AF46" s="47"/>
      <c r="AG46" s="47"/>
      <c r="AH46" s="47"/>
      <c r="AI46" s="47"/>
      <c r="AJ46" s="47"/>
      <c r="AK46" s="47"/>
      <c r="AL46" s="47"/>
      <c r="AM46" s="47"/>
      <c r="AN46" s="47"/>
      <c r="AO46" s="47"/>
      <c r="AQ46" s="47"/>
      <c r="AR46" s="47"/>
      <c r="AS46" s="47"/>
      <c r="AT46" s="47"/>
      <c r="AU46" s="47"/>
      <c r="AV46" s="47"/>
      <c r="AW46" s="47"/>
      <c r="AX46" s="47"/>
      <c r="AY46" s="47"/>
      <c r="AZ46" s="47"/>
      <c r="BA46" s="47"/>
      <c r="BB46" s="47"/>
      <c r="BC46" s="47"/>
      <c r="BD46" s="47"/>
      <c r="BE46" s="47"/>
      <c r="BF46" s="47"/>
      <c r="BG46" s="47"/>
      <c r="BH46" s="47"/>
      <c r="BI46" s="47"/>
      <c r="BJ46" s="47"/>
    </row>
    <row r="47" spans="3:62" x14ac:dyDescent="0.2">
      <c r="C47" s="47"/>
      <c r="D47" s="47"/>
      <c r="E47" s="47"/>
      <c r="F47" s="47"/>
      <c r="G47" s="47"/>
      <c r="H47" s="47"/>
      <c r="I47" s="47"/>
      <c r="J47" s="47"/>
      <c r="K47" s="47"/>
      <c r="L47" s="47"/>
      <c r="M47" s="47"/>
      <c r="N47" s="47"/>
      <c r="O47" s="47"/>
      <c r="P47" s="47"/>
      <c r="Q47" s="47"/>
      <c r="R47" s="47"/>
      <c r="S47" s="51"/>
      <c r="T47" s="51"/>
      <c r="U47" s="51"/>
      <c r="W47" s="47"/>
      <c r="X47" s="47"/>
      <c r="Y47" s="47"/>
      <c r="Z47" s="47"/>
      <c r="AA47" s="47"/>
      <c r="AB47" s="47"/>
      <c r="AC47" s="47"/>
      <c r="AD47" s="47"/>
      <c r="AE47" s="47"/>
      <c r="AF47" s="47"/>
      <c r="AG47" s="47"/>
      <c r="AH47" s="47"/>
      <c r="AI47" s="47"/>
      <c r="AJ47" s="47"/>
      <c r="AK47" s="47"/>
      <c r="AL47" s="47"/>
      <c r="AM47" s="47"/>
      <c r="AN47" s="47"/>
      <c r="AO47" s="47"/>
      <c r="AQ47" s="47"/>
      <c r="AR47" s="47"/>
      <c r="AS47" s="47"/>
      <c r="AT47" s="47"/>
      <c r="AU47" s="47"/>
      <c r="AV47" s="47"/>
      <c r="AW47" s="47"/>
      <c r="AX47" s="47"/>
      <c r="AY47" s="47"/>
      <c r="AZ47" s="47"/>
      <c r="BA47" s="47"/>
    </row>
    <row r="48" spans="3:62" x14ac:dyDescent="0.2">
      <c r="C48" s="47"/>
      <c r="D48" s="47"/>
      <c r="E48" s="47"/>
      <c r="F48" s="47"/>
      <c r="G48" s="47"/>
      <c r="H48" s="47"/>
      <c r="I48" s="47"/>
      <c r="J48" s="47"/>
      <c r="K48" s="47"/>
      <c r="L48" s="47"/>
      <c r="M48" s="47"/>
      <c r="N48" s="47"/>
      <c r="O48" s="47"/>
      <c r="P48" s="47"/>
      <c r="Q48" s="47"/>
      <c r="R48" s="47"/>
      <c r="S48" s="52"/>
      <c r="T48" s="52"/>
      <c r="U48" s="52"/>
      <c r="W48" s="47"/>
      <c r="X48" s="47"/>
      <c r="Y48" s="47"/>
      <c r="Z48" s="47"/>
      <c r="AA48" s="47"/>
      <c r="AB48" s="47"/>
      <c r="AC48" s="47"/>
      <c r="AD48" s="47"/>
      <c r="AE48" s="47"/>
      <c r="AF48" s="47"/>
      <c r="AG48" s="47"/>
      <c r="AH48" s="47"/>
      <c r="AI48" s="47"/>
      <c r="AJ48" s="47"/>
      <c r="AK48" s="47"/>
      <c r="AL48" s="47"/>
      <c r="AM48" s="47"/>
      <c r="AN48" s="47"/>
      <c r="AO48" s="47"/>
      <c r="AQ48" s="47"/>
      <c r="AR48" s="47"/>
      <c r="AS48" s="47"/>
      <c r="AT48" s="47"/>
      <c r="AU48" s="47"/>
      <c r="AV48" s="47"/>
      <c r="AW48" s="47"/>
      <c r="AX48" s="47"/>
      <c r="AY48" s="47"/>
      <c r="AZ48" s="47"/>
      <c r="BA48" s="47"/>
    </row>
    <row r="49" spans="3:59" x14ac:dyDescent="0.2">
      <c r="C49" s="47"/>
      <c r="D49" s="47"/>
      <c r="E49" s="47"/>
      <c r="F49" s="47"/>
      <c r="G49" s="47"/>
      <c r="H49" s="47"/>
      <c r="I49" s="47"/>
      <c r="J49" s="47"/>
      <c r="K49" s="47"/>
      <c r="L49" s="47"/>
      <c r="M49" s="47"/>
      <c r="N49" s="47"/>
      <c r="O49" s="47"/>
      <c r="P49" s="47"/>
      <c r="Q49" s="47"/>
      <c r="R49" s="47"/>
      <c r="S49" s="52"/>
      <c r="T49" s="52"/>
      <c r="U49" s="52"/>
      <c r="W49" s="47"/>
      <c r="X49" s="47"/>
      <c r="Y49" s="47"/>
      <c r="Z49" s="47"/>
      <c r="AA49" s="47"/>
      <c r="AB49" s="47"/>
      <c r="AC49" s="47"/>
      <c r="AD49" s="47"/>
      <c r="AE49" s="47"/>
      <c r="AF49" s="47"/>
      <c r="AG49" s="47"/>
      <c r="AH49" s="47"/>
      <c r="AI49" s="47"/>
      <c r="AJ49" s="47"/>
      <c r="AK49" s="47"/>
      <c r="AL49" s="47"/>
      <c r="AM49" s="47"/>
      <c r="AN49" s="47"/>
      <c r="AO49" s="47"/>
      <c r="AQ49" s="47"/>
      <c r="AR49" s="47"/>
      <c r="AS49" s="47"/>
      <c r="AT49" s="47"/>
      <c r="AU49" s="47"/>
      <c r="AV49" s="47"/>
      <c r="AW49" s="47"/>
      <c r="AX49" s="47"/>
      <c r="AY49" s="47"/>
      <c r="AZ49" s="47"/>
      <c r="BA49" s="47"/>
    </row>
    <row r="50" spans="3:59" x14ac:dyDescent="0.2">
      <c r="C50" s="47"/>
      <c r="D50" s="47"/>
      <c r="E50" s="47"/>
      <c r="F50" s="47"/>
      <c r="G50" s="47"/>
      <c r="H50" s="47"/>
      <c r="I50" s="47"/>
      <c r="J50" s="47"/>
      <c r="K50" s="47"/>
      <c r="L50" s="47"/>
      <c r="M50" s="47"/>
      <c r="N50" s="47"/>
      <c r="O50" s="47"/>
      <c r="P50" s="47"/>
      <c r="Q50" s="47"/>
      <c r="R50" s="47"/>
      <c r="S50" s="52"/>
      <c r="T50" s="52"/>
      <c r="U50" s="52"/>
      <c r="W50" s="47"/>
      <c r="X50" s="47"/>
      <c r="Y50" s="47"/>
      <c r="Z50" s="47"/>
      <c r="AA50" s="47"/>
      <c r="AB50" s="47"/>
      <c r="AC50" s="47"/>
      <c r="AD50" s="47"/>
      <c r="AE50" s="47"/>
      <c r="AF50" s="47"/>
      <c r="AG50" s="47"/>
      <c r="AH50" s="47"/>
      <c r="AI50" s="47"/>
      <c r="AJ50" s="47"/>
      <c r="AK50" s="47"/>
      <c r="AL50" s="47"/>
      <c r="AM50" s="47"/>
      <c r="AN50" s="47"/>
      <c r="AO50" s="47"/>
      <c r="AQ50" s="47"/>
      <c r="AR50" s="47"/>
      <c r="AS50" s="47"/>
      <c r="AT50" s="47"/>
      <c r="AU50" s="47"/>
      <c r="AV50" s="47"/>
      <c r="AW50" s="47"/>
      <c r="AX50" s="47"/>
      <c r="AY50" s="47"/>
      <c r="AZ50" s="47"/>
      <c r="BA50" s="47"/>
    </row>
    <row r="51" spans="3:59" x14ac:dyDescent="0.2">
      <c r="C51" s="47"/>
      <c r="D51" s="47"/>
      <c r="E51" s="47"/>
      <c r="F51" s="47"/>
      <c r="G51" s="47"/>
      <c r="H51" s="47"/>
      <c r="I51" s="47"/>
      <c r="J51" s="47"/>
      <c r="K51" s="47"/>
      <c r="L51" s="47"/>
      <c r="M51" s="47"/>
      <c r="N51" s="47"/>
      <c r="O51" s="47"/>
      <c r="P51" s="47"/>
      <c r="Q51" s="47"/>
      <c r="R51" s="47"/>
      <c r="S51" s="47"/>
      <c r="T51" s="47"/>
      <c r="U51" s="47"/>
      <c r="W51" s="47"/>
      <c r="X51" s="47"/>
      <c r="Y51" s="47"/>
      <c r="Z51" s="47"/>
      <c r="AA51" s="47"/>
      <c r="AB51" s="47"/>
      <c r="AC51" s="47"/>
      <c r="AD51" s="47"/>
      <c r="AE51" s="47"/>
      <c r="AF51" s="47"/>
      <c r="AG51" s="47"/>
      <c r="AH51" s="47"/>
      <c r="AI51" s="47"/>
      <c r="AJ51" s="47"/>
      <c r="AK51" s="47"/>
      <c r="AL51" s="47"/>
      <c r="AM51" s="47"/>
      <c r="AN51" s="47"/>
      <c r="AO51" s="47"/>
      <c r="AQ51" s="47"/>
      <c r="AR51" s="47"/>
      <c r="AS51" s="47"/>
      <c r="AT51" s="47"/>
      <c r="AU51" s="47"/>
      <c r="AV51" s="47"/>
      <c r="AW51" s="47"/>
      <c r="AX51" s="47"/>
      <c r="AY51" s="47"/>
      <c r="AZ51" s="47"/>
      <c r="BA51" s="47"/>
    </row>
    <row r="52" spans="3:59" x14ac:dyDescent="0.2">
      <c r="C52" s="53"/>
      <c r="AC52" s="47"/>
    </row>
    <row r="53" spans="3:59" x14ac:dyDescent="0.2">
      <c r="C53" s="54"/>
      <c r="D53" s="54"/>
      <c r="E53" s="54"/>
      <c r="F53" s="54"/>
      <c r="G53" s="54"/>
      <c r="H53" s="54"/>
      <c r="I53" s="54"/>
      <c r="J53" s="54"/>
      <c r="K53" s="54"/>
      <c r="L53" s="54"/>
      <c r="M53" s="54"/>
      <c r="N53" s="54"/>
      <c r="O53" s="54"/>
      <c r="P53" s="54"/>
    </row>
    <row r="55" spans="3:59" ht="12.75" hidden="1" customHeight="1" x14ac:dyDescent="0.2"/>
    <row r="56" spans="3:59" ht="12.75" hidden="1" customHeight="1" x14ac:dyDescent="0.2"/>
    <row r="57" spans="3:59" x14ac:dyDescent="0.2">
      <c r="BB57" s="55"/>
      <c r="BC57" s="55"/>
      <c r="BD57" s="55"/>
      <c r="BE57" s="55"/>
      <c r="BF57" s="55"/>
      <c r="BG57" s="55"/>
    </row>
    <row r="58" spans="3:59" x14ac:dyDescent="0.2">
      <c r="BB58" s="55"/>
      <c r="BC58" s="55"/>
      <c r="BD58" s="55"/>
      <c r="BE58" s="55"/>
      <c r="BF58" s="55"/>
      <c r="BG58" s="55"/>
    </row>
    <row r="59" spans="3:59" x14ac:dyDescent="0.2">
      <c r="BB59" s="55"/>
      <c r="BC59" s="55"/>
      <c r="BD59" s="55"/>
      <c r="BE59" s="55"/>
      <c r="BF59" s="55"/>
      <c r="BG59" s="55"/>
    </row>
    <row r="60" spans="3:59" x14ac:dyDescent="0.2">
      <c r="BB60" s="55"/>
      <c r="BC60" s="55"/>
      <c r="BD60" s="55"/>
      <c r="BE60" s="55"/>
      <c r="BF60" s="55"/>
      <c r="BG60" s="55"/>
    </row>
    <row r="62" spans="3:59" ht="12.75" hidden="1" customHeight="1" x14ac:dyDescent="0.2">
      <c r="AS62" s="55"/>
      <c r="AT62" s="55"/>
      <c r="AU62" s="55"/>
      <c r="AV62" s="55"/>
      <c r="AW62" s="55"/>
      <c r="AX62" s="55"/>
      <c r="AY62" s="55"/>
      <c r="AZ62" s="55"/>
      <c r="BA62" s="55"/>
    </row>
    <row r="63" spans="3:59" x14ac:dyDescent="0.2">
      <c r="AS63" s="55"/>
      <c r="AT63" s="55"/>
      <c r="AU63" s="55"/>
      <c r="AV63" s="55"/>
      <c r="AW63" s="55"/>
      <c r="AX63" s="55"/>
      <c r="AY63" s="55"/>
      <c r="AZ63" s="55"/>
      <c r="BA63" s="55"/>
    </row>
    <row r="64" spans="3:59" x14ac:dyDescent="0.2">
      <c r="AS64" s="55"/>
      <c r="AT64" s="55"/>
      <c r="AU64" s="55"/>
      <c r="AV64" s="55"/>
      <c r="AW64" s="55"/>
      <c r="AX64" s="55"/>
      <c r="AY64" s="55"/>
      <c r="AZ64" s="55"/>
      <c r="BA64" s="55"/>
    </row>
    <row r="65" spans="45:53" x14ac:dyDescent="0.2">
      <c r="AS65" s="55"/>
      <c r="AT65" s="55"/>
      <c r="AU65" s="55"/>
      <c r="AV65" s="55"/>
      <c r="AW65" s="55"/>
      <c r="AX65" s="55"/>
      <c r="AY65" s="55"/>
      <c r="AZ65" s="55"/>
      <c r="BA65" s="55"/>
    </row>
    <row r="66" spans="45:53" x14ac:dyDescent="0.2">
      <c r="AS66" s="55"/>
      <c r="AT66" s="55"/>
      <c r="AU66" s="55"/>
      <c r="AV66" s="55"/>
      <c r="AW66" s="55"/>
      <c r="AX66" s="55"/>
      <c r="AY66" s="55"/>
      <c r="AZ66" s="55"/>
      <c r="BA66" s="55"/>
    </row>
  </sheetData>
  <sheetProtection algorithmName="SHA-512" hashValue="+rarG2sTwglvUu8evqwOtKDjSwPw6Sm4LNJ9JqgxH92LM1MFQqh2Ih9ZtasgnHzwsSUCQxHsOXfs7BKasaO5CA==" saltValue="j3wKOuNwtzzJkBgDNsV6wg==" spinCount="100000" sheet="1" objects="1" scenarios="1" formatCells="0" formatRows="0" selectLockedCells="1" autoFilter="0"/>
  <mergeCells count="85">
    <mergeCell ref="AY27:BA27"/>
    <mergeCell ref="C27:E27"/>
    <mergeCell ref="F27:T27"/>
    <mergeCell ref="U27:AR27"/>
    <mergeCell ref="AS27:AU27"/>
    <mergeCell ref="AV27:AX27"/>
    <mergeCell ref="C41:Q41"/>
    <mergeCell ref="C34:Q34"/>
    <mergeCell ref="C35:Q35"/>
    <mergeCell ref="C36:Q36"/>
    <mergeCell ref="C37:Q37"/>
    <mergeCell ref="C38:Q38"/>
    <mergeCell ref="C39:Q39"/>
    <mergeCell ref="R40:BA40"/>
    <mergeCell ref="C30:O30"/>
    <mergeCell ref="R36:BA36"/>
    <mergeCell ref="R37:BA37"/>
    <mergeCell ref="R38:BA38"/>
    <mergeCell ref="R39:BA39"/>
    <mergeCell ref="C40:Q40"/>
    <mergeCell ref="C43:BA43"/>
    <mergeCell ref="C18:O18"/>
    <mergeCell ref="C23:E23"/>
    <mergeCell ref="AS23:AU23"/>
    <mergeCell ref="AV23:AX23"/>
    <mergeCell ref="AY23:BA23"/>
    <mergeCell ref="F23:T23"/>
    <mergeCell ref="U23:AR23"/>
    <mergeCell ref="C32:Q32"/>
    <mergeCell ref="R32:BA32"/>
    <mergeCell ref="C33:Q33"/>
    <mergeCell ref="R33:BA33"/>
    <mergeCell ref="C28:BA28"/>
    <mergeCell ref="R34:BA34"/>
    <mergeCell ref="R35:BA35"/>
    <mergeCell ref="R41:BA41"/>
    <mergeCell ref="R16:BA16"/>
    <mergeCell ref="C16:Q16"/>
    <mergeCell ref="U24:AR24"/>
    <mergeCell ref="AY24:BA24"/>
    <mergeCell ref="C24:E24"/>
    <mergeCell ref="F24:T24"/>
    <mergeCell ref="AS24:AU24"/>
    <mergeCell ref="AV24:AX24"/>
    <mergeCell ref="C9:Q9"/>
    <mergeCell ref="R9:BA9"/>
    <mergeCell ref="C10:Q10"/>
    <mergeCell ref="R10:BA10"/>
    <mergeCell ref="C14:Q14"/>
    <mergeCell ref="R11:BA11"/>
    <mergeCell ref="C11:Q11"/>
    <mergeCell ref="C12:Q12"/>
    <mergeCell ref="R12:BA12"/>
    <mergeCell ref="C15:Q15"/>
    <mergeCell ref="R15:BA15"/>
    <mergeCell ref="C13:Q13"/>
    <mergeCell ref="R13:BA13"/>
    <mergeCell ref="R14:BA14"/>
    <mergeCell ref="C6:Q6"/>
    <mergeCell ref="R6:BA6"/>
    <mergeCell ref="C7:Q7"/>
    <mergeCell ref="R7:BA7"/>
    <mergeCell ref="R8:BA8"/>
    <mergeCell ref="C8:Q8"/>
    <mergeCell ref="C3:BA3"/>
    <mergeCell ref="C2:O2"/>
    <mergeCell ref="C4:Q4"/>
    <mergeCell ref="C5:Q5"/>
    <mergeCell ref="R5:BA5"/>
    <mergeCell ref="AW4:BA4"/>
    <mergeCell ref="AR4:AV4"/>
    <mergeCell ref="R4:AQ4"/>
    <mergeCell ref="P2:Q2"/>
    <mergeCell ref="AY25:BA25"/>
    <mergeCell ref="C26:E26"/>
    <mergeCell ref="F26:T26"/>
    <mergeCell ref="U26:AR26"/>
    <mergeCell ref="AS26:AU26"/>
    <mergeCell ref="AV26:AX26"/>
    <mergeCell ref="AY26:BA26"/>
    <mergeCell ref="C25:E25"/>
    <mergeCell ref="F25:T25"/>
    <mergeCell ref="U25:AR25"/>
    <mergeCell ref="AS25:AU25"/>
    <mergeCell ref="AV25:AX25"/>
  </mergeCells>
  <dataValidations count="1">
    <dataValidation type="decimal" operator="greaterThan" allowBlank="1" showInputMessage="1" showErrorMessage="1" sqref="R15:BA15">
      <formula1>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9" r:id="rId4" name="Button 15">
              <controlPr defaultSize="0" print="0" autoFill="0" autoPict="0" macro="[0]!InsertarHU">
                <anchor moveWithCells="1" sizeWithCells="1">
                  <from>
                    <xdr:col>2</xdr:col>
                    <xdr:colOff>57150</xdr:colOff>
                    <xdr:row>19</xdr:row>
                    <xdr:rowOff>9525</xdr:rowOff>
                  </from>
                  <to>
                    <xdr:col>8</xdr:col>
                    <xdr:colOff>76200</xdr:colOff>
                    <xdr:row>21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Listas!$F$5:$F$7</xm:f>
          </x14:formula1>
          <xm:sqref>R8:BA8</xm:sqref>
        </x14:dataValidation>
        <x14:dataValidation type="list" allowBlank="1" showInputMessage="1" showErrorMessage="1">
          <x14:formula1>
            <xm:f>Listas!$B$5:$B$7</xm:f>
          </x14:formula1>
          <xm:sqref>R32:R33 R37:BA37 AY24:AY27 AV24:AV27</xm:sqref>
        </x14:dataValidation>
        <x14:dataValidation type="list" allowBlank="1" showInputMessage="1" showErrorMessage="1">
          <x14:formula1>
            <xm:f>Listas!$P$5:$P$9</xm:f>
          </x14:formula1>
          <xm:sqref>R35:R36</xm:sqref>
        </x14:dataValidation>
        <x14:dataValidation type="list" allowBlank="1" showInputMessage="1" showErrorMessage="1">
          <x14:formula1>
            <xm:f>Listas!$V$5:$V$9</xm:f>
          </x14:formula1>
          <xm:sqref>R38:R39</xm:sqref>
        </x14:dataValidation>
        <x14:dataValidation type="list" allowBlank="1" showInputMessage="1" showErrorMessage="1">
          <x14:formula1>
            <xm:f>Listas!$L$5:$L$8</xm:f>
          </x14:formula1>
          <xm:sqref>AS24:AS27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9" tint="0.39997558519241921"/>
  </sheetPr>
  <dimension ref="A2:DH55"/>
  <sheetViews>
    <sheetView showGridLines="0" topLeftCell="C1" zoomScale="93" zoomScaleNormal="93" workbookViewId="0">
      <pane ySplit="7" topLeftCell="A18" activePane="bottomLeft" state="frozen"/>
      <selection activeCell="R20" sqref="R20:BA20"/>
      <selection pane="bottomLeft" activeCell="C22" sqref="C22:E22"/>
    </sheetView>
  </sheetViews>
  <sheetFormatPr baseColWidth="10" defaultColWidth="2.7109375" defaultRowHeight="12.75" x14ac:dyDescent="0.2"/>
  <cols>
    <col min="1" max="2" width="1.7109375" style="1" customWidth="1"/>
    <col min="3" max="8" width="2.7109375" style="1"/>
    <col min="9" max="18" width="2.7109375" style="1" hidden="1" customWidth="1"/>
    <col min="19" max="28" width="2.42578125" style="1" customWidth="1"/>
    <col min="29" max="68" width="2.7109375" style="1"/>
    <col min="69" max="78" width="3.140625" style="1" customWidth="1"/>
    <col min="79" max="95" width="2.7109375" style="1"/>
    <col min="96" max="98" width="2.7109375" style="1" customWidth="1"/>
    <col min="99" max="16384" width="2.7109375" style="1"/>
  </cols>
  <sheetData>
    <row r="2" spans="1:112" ht="15" customHeight="1" x14ac:dyDescent="0.2">
      <c r="F2" s="10"/>
      <c r="G2" s="10"/>
      <c r="H2" s="10"/>
      <c r="S2" s="327" t="s">
        <v>11</v>
      </c>
      <c r="T2" s="328"/>
      <c r="U2" s="328"/>
      <c r="V2" s="328"/>
      <c r="W2" s="328"/>
      <c r="X2" s="328"/>
      <c r="Y2" s="328"/>
      <c r="Z2" s="328"/>
      <c r="AA2" s="328" t="s">
        <v>12</v>
      </c>
      <c r="AB2" s="328"/>
      <c r="AC2" s="328"/>
      <c r="AD2" s="328"/>
      <c r="AE2" s="328"/>
      <c r="AF2" s="328"/>
      <c r="AG2" s="328"/>
      <c r="AH2" s="328"/>
      <c r="AI2" s="329"/>
      <c r="AR2" s="27"/>
      <c r="AS2" s="27"/>
      <c r="AT2" s="27"/>
      <c r="AU2" s="27"/>
    </row>
    <row r="3" spans="1:112" x14ac:dyDescent="0.2">
      <c r="F3" s="10"/>
      <c r="G3" s="10"/>
      <c r="H3" s="10"/>
      <c r="I3" s="10"/>
      <c r="J3" s="10"/>
      <c r="K3" s="10"/>
      <c r="L3" s="10"/>
      <c r="M3" s="10"/>
      <c r="N3" s="10"/>
      <c r="O3" s="10"/>
      <c r="P3" s="10"/>
      <c r="Q3" s="10"/>
      <c r="R3" s="10"/>
      <c r="S3" s="10"/>
      <c r="T3" s="10"/>
      <c r="U3" s="10" t="s">
        <v>266</v>
      </c>
      <c r="V3" s="82" t="s">
        <v>198</v>
      </c>
      <c r="AQ3" s="330"/>
      <c r="AR3" s="330"/>
      <c r="AS3" s="330"/>
      <c r="AT3" s="330"/>
      <c r="AU3" s="330"/>
      <c r="AV3" s="330"/>
      <c r="AW3" s="330"/>
      <c r="AX3" s="330"/>
      <c r="AY3" s="330"/>
      <c r="AZ3" s="330"/>
      <c r="BA3" s="330"/>
      <c r="BB3" s="27"/>
      <c r="BC3" s="27"/>
    </row>
    <row r="4" spans="1:112" x14ac:dyDescent="0.2">
      <c r="F4" s="10"/>
      <c r="G4" s="10"/>
      <c r="H4" s="10"/>
      <c r="I4" s="10"/>
      <c r="J4" s="10"/>
      <c r="K4" s="10"/>
      <c r="L4" s="10"/>
      <c r="M4" s="10"/>
      <c r="N4" s="10"/>
      <c r="O4" s="10"/>
      <c r="P4" s="10"/>
      <c r="Q4" s="10"/>
      <c r="R4" s="10"/>
      <c r="S4" s="10"/>
      <c r="T4" s="10"/>
      <c r="U4" s="10"/>
      <c r="V4" s="82"/>
    </row>
    <row r="5" spans="1:112" x14ac:dyDescent="0.2">
      <c r="F5" s="4"/>
      <c r="G5" s="4"/>
      <c r="H5" s="4"/>
      <c r="I5" s="4"/>
      <c r="J5" s="4"/>
      <c r="K5" s="4"/>
      <c r="L5" s="4"/>
      <c r="M5" s="4"/>
      <c r="N5" s="4"/>
      <c r="O5" s="4"/>
      <c r="P5" s="4"/>
      <c r="Q5" s="4"/>
      <c r="R5" s="4"/>
      <c r="S5" s="4"/>
      <c r="T5" s="4"/>
    </row>
    <row r="6" spans="1:112" ht="15" x14ac:dyDescent="0.25">
      <c r="C6" s="335" t="s">
        <v>27</v>
      </c>
      <c r="D6" s="335"/>
      <c r="E6" s="335"/>
      <c r="F6" s="335"/>
      <c r="G6" s="335"/>
      <c r="H6" s="335"/>
      <c r="I6" s="334" t="s">
        <v>16</v>
      </c>
      <c r="J6" s="334"/>
      <c r="K6" s="334"/>
      <c r="L6" s="334"/>
      <c r="M6" s="334"/>
      <c r="N6" s="334"/>
      <c r="O6" s="334"/>
      <c r="P6" s="334"/>
      <c r="Q6" s="334"/>
      <c r="R6" s="334"/>
      <c r="S6" s="334"/>
      <c r="T6" s="334"/>
      <c r="U6" s="334"/>
      <c r="V6" s="334"/>
      <c r="W6" s="334"/>
      <c r="X6" s="334"/>
      <c r="Y6" s="334"/>
      <c r="Z6" s="334"/>
      <c r="AA6" s="334"/>
      <c r="AB6" s="334"/>
      <c r="AC6" s="334"/>
      <c r="AD6" s="334"/>
      <c r="AE6" s="334"/>
      <c r="AF6" s="334"/>
      <c r="AG6" s="334"/>
      <c r="AH6" s="334"/>
      <c r="AI6" s="334"/>
      <c r="AJ6" s="334"/>
      <c r="AK6" s="334"/>
      <c r="AL6" s="334"/>
      <c r="AM6" s="334"/>
      <c r="AN6" s="334"/>
      <c r="AO6" s="334"/>
      <c r="AP6" s="334"/>
      <c r="AQ6" s="334"/>
      <c r="AR6" s="334"/>
      <c r="AS6" s="334"/>
      <c r="AT6" s="334"/>
      <c r="AU6" s="334"/>
      <c r="AV6" s="334"/>
      <c r="AW6" s="334"/>
      <c r="AX6" s="334"/>
      <c r="AY6" s="334"/>
      <c r="AZ6" s="334"/>
      <c r="BA6" s="334"/>
      <c r="BB6" s="334"/>
      <c r="BC6" s="334"/>
      <c r="BD6" s="334"/>
      <c r="BE6" s="334"/>
      <c r="BF6" s="334"/>
      <c r="BG6" s="334"/>
      <c r="BH6" s="334"/>
      <c r="BI6" s="334"/>
      <c r="BJ6" s="334"/>
      <c r="BK6" s="334"/>
      <c r="BL6" s="334"/>
      <c r="BM6" s="334"/>
      <c r="BN6" s="334"/>
      <c r="BO6" s="334"/>
      <c r="BP6" s="334"/>
      <c r="BQ6" s="334"/>
      <c r="BR6" s="334"/>
      <c r="BS6" s="334"/>
      <c r="BT6" s="334"/>
      <c r="BU6" s="334"/>
      <c r="BV6" s="334"/>
      <c r="BW6" s="334"/>
      <c r="BX6" s="334"/>
      <c r="BY6" s="334"/>
      <c r="BZ6" s="334"/>
      <c r="CA6" s="334"/>
      <c r="CB6" s="334"/>
      <c r="CC6" s="334"/>
      <c r="CD6" s="334"/>
      <c r="CE6" s="334"/>
      <c r="CF6" s="334"/>
      <c r="CG6" s="334"/>
      <c r="CH6" s="334"/>
      <c r="CI6" s="332" t="s">
        <v>17</v>
      </c>
      <c r="CJ6" s="332"/>
      <c r="CK6" s="332"/>
      <c r="CL6" s="332"/>
      <c r="CM6" s="332"/>
      <c r="CN6" s="332"/>
      <c r="CO6" s="332"/>
      <c r="CP6" s="332"/>
      <c r="CQ6" s="332"/>
      <c r="CR6" s="332" t="s">
        <v>20</v>
      </c>
      <c r="CS6" s="332"/>
      <c r="CT6" s="332"/>
      <c r="CU6" s="332"/>
      <c r="CV6" s="332"/>
      <c r="CW6" s="332"/>
      <c r="CX6" s="332"/>
      <c r="CY6" s="332"/>
      <c r="CZ6" s="332"/>
      <c r="DA6" s="332"/>
      <c r="DB6" s="332"/>
      <c r="DC6" s="332"/>
      <c r="DD6" s="332"/>
      <c r="DE6" s="332"/>
      <c r="DF6" s="332"/>
      <c r="DG6" s="332"/>
      <c r="DH6" s="332"/>
    </row>
    <row r="7" spans="1:112" ht="15" x14ac:dyDescent="0.25">
      <c r="A7" s="7" t="s">
        <v>162</v>
      </c>
      <c r="C7" s="333" t="s">
        <v>31</v>
      </c>
      <c r="D7" s="333"/>
      <c r="E7" s="333"/>
      <c r="F7" s="333" t="s">
        <v>32</v>
      </c>
      <c r="G7" s="333"/>
      <c r="H7" s="333"/>
      <c r="I7" s="333" t="s">
        <v>155</v>
      </c>
      <c r="J7" s="333"/>
      <c r="K7" s="333"/>
      <c r="L7" s="333"/>
      <c r="M7" s="333"/>
      <c r="N7" s="333"/>
      <c r="O7" s="333"/>
      <c r="P7" s="333"/>
      <c r="Q7" s="333"/>
      <c r="R7" s="333"/>
      <c r="S7" s="333" t="s">
        <v>0</v>
      </c>
      <c r="T7" s="333"/>
      <c r="U7" s="333"/>
      <c r="V7" s="333"/>
      <c r="W7" s="333"/>
      <c r="X7" s="333"/>
      <c r="Y7" s="333"/>
      <c r="Z7" s="333"/>
      <c r="AA7" s="333"/>
      <c r="AB7" s="333"/>
      <c r="AC7" s="331" t="s">
        <v>13</v>
      </c>
      <c r="AD7" s="331"/>
      <c r="AE7" s="331"/>
      <c r="AF7" s="331"/>
      <c r="AG7" s="331"/>
      <c r="AH7" s="331"/>
      <c r="AI7" s="331"/>
      <c r="AJ7" s="331"/>
      <c r="AK7" s="331"/>
      <c r="AL7" s="331"/>
      <c r="AM7" s="331" t="s">
        <v>14</v>
      </c>
      <c r="AN7" s="331"/>
      <c r="AO7" s="331"/>
      <c r="AP7" s="331"/>
      <c r="AQ7" s="331"/>
      <c r="AR7" s="331"/>
      <c r="AS7" s="331"/>
      <c r="AT7" s="331"/>
      <c r="AU7" s="331"/>
      <c r="AV7" s="331"/>
      <c r="AW7" s="331" t="s">
        <v>7</v>
      </c>
      <c r="AX7" s="331"/>
      <c r="AY7" s="331"/>
      <c r="AZ7" s="331"/>
      <c r="BA7" s="331"/>
      <c r="BB7" s="331"/>
      <c r="BC7" s="331"/>
      <c r="BD7" s="331"/>
      <c r="BE7" s="331"/>
      <c r="BF7" s="331"/>
      <c r="BG7" s="331"/>
      <c r="BH7" s="331"/>
      <c r="BI7" s="331"/>
      <c r="BJ7" s="331"/>
      <c r="BK7" s="331"/>
      <c r="BL7" s="331"/>
      <c r="BM7" s="331"/>
      <c r="BN7" s="331"/>
      <c r="BO7" s="331"/>
      <c r="BP7" s="331"/>
      <c r="BQ7" s="331" t="s">
        <v>1</v>
      </c>
      <c r="BR7" s="331"/>
      <c r="BS7" s="331"/>
      <c r="BT7" s="331"/>
      <c r="BU7" s="331"/>
      <c r="BV7" s="331"/>
      <c r="BW7" s="331"/>
      <c r="BX7" s="331"/>
      <c r="BY7" s="331"/>
      <c r="BZ7" s="331"/>
      <c r="CA7" s="331" t="s">
        <v>15</v>
      </c>
      <c r="CB7" s="331"/>
      <c r="CC7" s="331"/>
      <c r="CD7" s="331"/>
      <c r="CE7" s="331"/>
      <c r="CF7" s="331" t="s">
        <v>2</v>
      </c>
      <c r="CG7" s="331"/>
      <c r="CH7" s="331"/>
      <c r="CI7" s="331">
        <v>1</v>
      </c>
      <c r="CJ7" s="331"/>
      <c r="CK7" s="331"/>
      <c r="CL7" s="331">
        <v>2</v>
      </c>
      <c r="CM7" s="331"/>
      <c r="CN7" s="331"/>
      <c r="CO7" s="331">
        <v>3</v>
      </c>
      <c r="CP7" s="331"/>
      <c r="CQ7" s="331"/>
      <c r="CR7" s="331" t="s">
        <v>8</v>
      </c>
      <c r="CS7" s="331"/>
      <c r="CT7" s="331"/>
      <c r="CU7" s="331" t="s">
        <v>18</v>
      </c>
      <c r="CV7" s="331"/>
      <c r="CW7" s="331"/>
      <c r="CX7" s="331"/>
      <c r="CY7" s="331"/>
      <c r="CZ7" s="331" t="s">
        <v>19</v>
      </c>
      <c r="DA7" s="331"/>
      <c r="DB7" s="331"/>
      <c r="DC7" s="331"/>
      <c r="DD7" s="331"/>
      <c r="DE7" s="331"/>
      <c r="DF7" s="331"/>
      <c r="DG7" s="331"/>
      <c r="DH7" s="331"/>
    </row>
    <row r="8" spans="1:112" s="4" customFormat="1" ht="64.5" customHeight="1" x14ac:dyDescent="0.25">
      <c r="A8" s="32" t="s">
        <v>281</v>
      </c>
      <c r="C8" s="319" t="s">
        <v>291</v>
      </c>
      <c r="D8" s="319"/>
      <c r="E8" s="319"/>
      <c r="F8" s="320" t="s">
        <v>293</v>
      </c>
      <c r="G8" s="320"/>
      <c r="H8" s="320"/>
      <c r="I8" s="321" t="str">
        <f>IF(C8&lt;&gt;"",VLOOKUP(C8,'Info General'!$C$24:$F$6991,4,0),"")</f>
        <v>Acceso a la plataforma Travelocity</v>
      </c>
      <c r="J8" s="321"/>
      <c r="K8" s="321"/>
      <c r="L8" s="321"/>
      <c r="M8" s="321"/>
      <c r="N8" s="321"/>
      <c r="O8" s="321"/>
      <c r="P8" s="321"/>
      <c r="Q8" s="321"/>
      <c r="R8" s="321"/>
      <c r="S8" s="336" t="s">
        <v>309</v>
      </c>
      <c r="T8" s="336"/>
      <c r="U8" s="336"/>
      <c r="V8" s="336"/>
      <c r="W8" s="336"/>
      <c r="X8" s="336"/>
      <c r="Y8" s="336"/>
      <c r="Z8" s="336"/>
      <c r="AA8" s="336"/>
      <c r="AB8" s="336"/>
      <c r="AC8" s="337" t="s">
        <v>310</v>
      </c>
      <c r="AD8" s="338"/>
      <c r="AE8" s="338"/>
      <c r="AF8" s="338"/>
      <c r="AG8" s="338"/>
      <c r="AH8" s="338"/>
      <c r="AI8" s="338"/>
      <c r="AJ8" s="338"/>
      <c r="AK8" s="338"/>
      <c r="AL8" s="339"/>
      <c r="AM8" s="336" t="s">
        <v>316</v>
      </c>
      <c r="AN8" s="336"/>
      <c r="AO8" s="336"/>
      <c r="AP8" s="336"/>
      <c r="AQ8" s="336"/>
      <c r="AR8" s="336"/>
      <c r="AS8" s="336"/>
      <c r="AT8" s="336"/>
      <c r="AU8" s="336"/>
      <c r="AV8" s="336"/>
      <c r="AW8" s="322" t="s">
        <v>311</v>
      </c>
      <c r="AX8" s="322"/>
      <c r="AY8" s="322"/>
      <c r="AZ8" s="322"/>
      <c r="BA8" s="322"/>
      <c r="BB8" s="322"/>
      <c r="BC8" s="322"/>
      <c r="BD8" s="322"/>
      <c r="BE8" s="322"/>
      <c r="BF8" s="322"/>
      <c r="BG8" s="322"/>
      <c r="BH8" s="322"/>
      <c r="BI8" s="322"/>
      <c r="BJ8" s="322"/>
      <c r="BK8" s="322"/>
      <c r="BL8" s="322"/>
      <c r="BM8" s="322"/>
      <c r="BN8" s="322"/>
      <c r="BO8" s="322"/>
      <c r="BP8" s="322"/>
      <c r="BQ8" s="322" t="s">
        <v>317</v>
      </c>
      <c r="BR8" s="322"/>
      <c r="BS8" s="322"/>
      <c r="BT8" s="322"/>
      <c r="BU8" s="322"/>
      <c r="BV8" s="322"/>
      <c r="BW8" s="322"/>
      <c r="BX8" s="322"/>
      <c r="BY8" s="322"/>
      <c r="BZ8" s="322"/>
      <c r="CA8" s="319" t="s">
        <v>3</v>
      </c>
      <c r="CB8" s="319"/>
      <c r="CC8" s="319"/>
      <c r="CD8" s="319"/>
      <c r="CE8" s="319"/>
      <c r="CF8" s="319"/>
      <c r="CG8" s="319"/>
      <c r="CH8" s="319"/>
      <c r="CI8" s="320" t="s">
        <v>5</v>
      </c>
      <c r="CJ8" s="320"/>
      <c r="CK8" s="320"/>
      <c r="CL8" s="320"/>
      <c r="CM8" s="320"/>
      <c r="CN8" s="320"/>
      <c r="CO8" s="320"/>
      <c r="CP8" s="320"/>
      <c r="CQ8" s="320"/>
      <c r="CR8" s="323" t="str">
        <f t="shared" ref="CR8" si="0">IF(CO8="F",$V$3,IF(CO8="X",$U$3,IF(CL8="F",$V$3,IF(CL8="X",$U$3,IF(CI8="F",$V$3,IF(CI8="X",$U$3,""))))))</f>
        <v>OK</v>
      </c>
      <c r="CS8" s="323"/>
      <c r="CT8" s="323"/>
      <c r="CU8" s="320"/>
      <c r="CV8" s="320"/>
      <c r="CW8" s="320"/>
      <c r="CX8" s="320"/>
      <c r="CY8" s="320"/>
      <c r="CZ8" s="318" t="s">
        <v>355</v>
      </c>
      <c r="DA8" s="318"/>
      <c r="DB8" s="318"/>
      <c r="DC8" s="318"/>
      <c r="DD8" s="318"/>
      <c r="DE8" s="318"/>
      <c r="DF8" s="318"/>
      <c r="DG8" s="318"/>
      <c r="DH8" s="318"/>
    </row>
    <row r="9" spans="1:112" s="4" customFormat="1" ht="54.75" customHeight="1" x14ac:dyDescent="0.25">
      <c r="A9" s="32"/>
      <c r="C9" s="319" t="s">
        <v>291</v>
      </c>
      <c r="D9" s="319"/>
      <c r="E9" s="319"/>
      <c r="F9" s="320" t="s">
        <v>319</v>
      </c>
      <c r="G9" s="320"/>
      <c r="H9" s="320"/>
      <c r="I9" s="321" t="str">
        <f>IF(C9&lt;&gt;"",VLOOKUP(C9,'Info General'!$C$24:$F$6991,4,0),"")</f>
        <v>Acceso a la plataforma Travelocity</v>
      </c>
      <c r="J9" s="321"/>
      <c r="K9" s="321"/>
      <c r="L9" s="321"/>
      <c r="M9" s="321"/>
      <c r="N9" s="321"/>
      <c r="O9" s="321"/>
      <c r="P9" s="321"/>
      <c r="Q9" s="321"/>
      <c r="R9" s="321"/>
      <c r="S9" s="322" t="s">
        <v>312</v>
      </c>
      <c r="T9" s="322"/>
      <c r="U9" s="322"/>
      <c r="V9" s="322"/>
      <c r="W9" s="322"/>
      <c r="X9" s="322"/>
      <c r="Y9" s="322"/>
      <c r="Z9" s="322"/>
      <c r="AA9" s="322"/>
      <c r="AB9" s="322"/>
      <c r="AC9" s="322" t="s">
        <v>313</v>
      </c>
      <c r="AD9" s="322"/>
      <c r="AE9" s="322"/>
      <c r="AF9" s="322"/>
      <c r="AG9" s="322"/>
      <c r="AH9" s="322"/>
      <c r="AI9" s="322"/>
      <c r="AJ9" s="322"/>
      <c r="AK9" s="322"/>
      <c r="AL9" s="322"/>
      <c r="AM9" s="322" t="s">
        <v>314</v>
      </c>
      <c r="AN9" s="322"/>
      <c r="AO9" s="322"/>
      <c r="AP9" s="322"/>
      <c r="AQ9" s="322"/>
      <c r="AR9" s="322"/>
      <c r="AS9" s="322"/>
      <c r="AT9" s="322"/>
      <c r="AU9" s="322"/>
      <c r="AV9" s="322"/>
      <c r="AW9" s="322" t="s">
        <v>315</v>
      </c>
      <c r="AX9" s="322"/>
      <c r="AY9" s="322"/>
      <c r="AZ9" s="322"/>
      <c r="BA9" s="322"/>
      <c r="BB9" s="322"/>
      <c r="BC9" s="322"/>
      <c r="BD9" s="322"/>
      <c r="BE9" s="322"/>
      <c r="BF9" s="322"/>
      <c r="BG9" s="322"/>
      <c r="BH9" s="322"/>
      <c r="BI9" s="322"/>
      <c r="BJ9" s="322"/>
      <c r="BK9" s="322"/>
      <c r="BL9" s="322"/>
      <c r="BM9" s="322"/>
      <c r="BN9" s="322"/>
      <c r="BO9" s="322"/>
      <c r="BP9" s="322"/>
      <c r="BQ9" s="322" t="s">
        <v>318</v>
      </c>
      <c r="BR9" s="322"/>
      <c r="BS9" s="322"/>
      <c r="BT9" s="322"/>
      <c r="BU9" s="322"/>
      <c r="BV9" s="322"/>
      <c r="BW9" s="322"/>
      <c r="BX9" s="322"/>
      <c r="BY9" s="322"/>
      <c r="BZ9" s="322"/>
      <c r="CA9" s="319" t="s">
        <v>3</v>
      </c>
      <c r="CB9" s="319"/>
      <c r="CC9" s="319"/>
      <c r="CD9" s="319"/>
      <c r="CE9" s="319"/>
      <c r="CF9" s="319"/>
      <c r="CG9" s="319"/>
      <c r="CH9" s="319"/>
      <c r="CI9" s="320" t="s">
        <v>5</v>
      </c>
      <c r="CJ9" s="320"/>
      <c r="CK9" s="320"/>
      <c r="CL9" s="320"/>
      <c r="CM9" s="320"/>
      <c r="CN9" s="320"/>
      <c r="CO9" s="320"/>
      <c r="CP9" s="320"/>
      <c r="CQ9" s="320"/>
      <c r="CR9" s="323" t="str">
        <f t="shared" ref="CR9" si="1">IF(CO9="F",$V$3,IF(CO9="X",$U$3,IF(CL9="F",$V$3,IF(CL9="X",$U$3,IF(CI9="F",$V$3,IF(CI9="X",$U$3,""))))))</f>
        <v>OK</v>
      </c>
      <c r="CS9" s="323"/>
      <c r="CT9" s="323"/>
      <c r="CU9" s="320"/>
      <c r="CV9" s="320"/>
      <c r="CW9" s="320"/>
      <c r="CX9" s="320"/>
      <c r="CY9" s="320"/>
      <c r="CZ9" s="318" t="s">
        <v>363</v>
      </c>
      <c r="DA9" s="318"/>
      <c r="DB9" s="318"/>
      <c r="DC9" s="318"/>
      <c r="DD9" s="318"/>
      <c r="DE9" s="318"/>
      <c r="DF9" s="318"/>
      <c r="DG9" s="318"/>
      <c r="DH9" s="318"/>
    </row>
    <row r="10" spans="1:112" s="4" customFormat="1" ht="54.75" customHeight="1" x14ac:dyDescent="0.25">
      <c r="A10" s="32"/>
      <c r="C10" s="319" t="s">
        <v>291</v>
      </c>
      <c r="D10" s="319"/>
      <c r="E10" s="319"/>
      <c r="F10" s="320" t="s">
        <v>320</v>
      </c>
      <c r="G10" s="320"/>
      <c r="H10" s="320"/>
      <c r="I10" s="321" t="str">
        <f>IF(C10&lt;&gt;"",VLOOKUP(C10,'Info General'!$C$24:$F$6991,4,0),"")</f>
        <v>Acceso a la plataforma Travelocity</v>
      </c>
      <c r="J10" s="321"/>
      <c r="K10" s="321"/>
      <c r="L10" s="321"/>
      <c r="M10" s="321"/>
      <c r="N10" s="321"/>
      <c r="O10" s="321"/>
      <c r="P10" s="321"/>
      <c r="Q10" s="321"/>
      <c r="R10" s="321"/>
      <c r="S10" s="322" t="s">
        <v>333</v>
      </c>
      <c r="T10" s="322"/>
      <c r="U10" s="322"/>
      <c r="V10" s="322"/>
      <c r="W10" s="322"/>
      <c r="X10" s="322"/>
      <c r="Y10" s="322"/>
      <c r="Z10" s="322"/>
      <c r="AA10" s="322"/>
      <c r="AB10" s="322"/>
      <c r="AC10" s="322" t="s">
        <v>334</v>
      </c>
      <c r="AD10" s="322"/>
      <c r="AE10" s="322"/>
      <c r="AF10" s="322"/>
      <c r="AG10" s="322"/>
      <c r="AH10" s="322"/>
      <c r="AI10" s="322"/>
      <c r="AJ10" s="322"/>
      <c r="AK10" s="322"/>
      <c r="AL10" s="322"/>
      <c r="AM10" s="322" t="s">
        <v>335</v>
      </c>
      <c r="AN10" s="322"/>
      <c r="AO10" s="322"/>
      <c r="AP10" s="322"/>
      <c r="AQ10" s="322"/>
      <c r="AR10" s="322"/>
      <c r="AS10" s="322"/>
      <c r="AT10" s="322"/>
      <c r="AU10" s="322"/>
      <c r="AV10" s="322"/>
      <c r="AW10" s="322" t="s">
        <v>371</v>
      </c>
      <c r="AX10" s="322"/>
      <c r="AY10" s="322"/>
      <c r="AZ10" s="322"/>
      <c r="BA10" s="322"/>
      <c r="BB10" s="322"/>
      <c r="BC10" s="322"/>
      <c r="BD10" s="322"/>
      <c r="BE10" s="322"/>
      <c r="BF10" s="322"/>
      <c r="BG10" s="322"/>
      <c r="BH10" s="322"/>
      <c r="BI10" s="322"/>
      <c r="BJ10" s="322"/>
      <c r="BK10" s="322"/>
      <c r="BL10" s="322"/>
      <c r="BM10" s="322"/>
      <c r="BN10" s="322"/>
      <c r="BO10" s="322"/>
      <c r="BP10" s="322"/>
      <c r="BQ10" s="322" t="s">
        <v>336</v>
      </c>
      <c r="BR10" s="322"/>
      <c r="BS10" s="322"/>
      <c r="BT10" s="322"/>
      <c r="BU10" s="322"/>
      <c r="BV10" s="322"/>
      <c r="BW10" s="322"/>
      <c r="BX10" s="322"/>
      <c r="BY10" s="322"/>
      <c r="BZ10" s="322"/>
      <c r="CA10" s="319" t="s">
        <v>3</v>
      </c>
      <c r="CB10" s="319"/>
      <c r="CC10" s="319"/>
      <c r="CD10" s="319"/>
      <c r="CE10" s="319"/>
      <c r="CF10" s="319"/>
      <c r="CG10" s="319"/>
      <c r="CH10" s="319"/>
      <c r="CI10" s="320" t="s">
        <v>5</v>
      </c>
      <c r="CJ10" s="320"/>
      <c r="CK10" s="320"/>
      <c r="CL10" s="320"/>
      <c r="CM10" s="320"/>
      <c r="CN10" s="320"/>
      <c r="CO10" s="320"/>
      <c r="CP10" s="320"/>
      <c r="CQ10" s="320"/>
      <c r="CR10" s="323" t="str">
        <f t="shared" ref="CR10" si="2">IF(CO10="F",$V$3,IF(CO10="X",$U$3,IF(CL10="F",$V$3,IF(CL10="X",$U$3,IF(CI10="F",$V$3,IF(CI10="X",$U$3,""))))))</f>
        <v>OK</v>
      </c>
      <c r="CS10" s="323"/>
      <c r="CT10" s="323"/>
      <c r="CU10" s="320"/>
      <c r="CV10" s="320"/>
      <c r="CW10" s="320"/>
      <c r="CX10" s="320"/>
      <c r="CY10" s="320"/>
      <c r="CZ10" s="318" t="s">
        <v>353</v>
      </c>
      <c r="DA10" s="318"/>
      <c r="DB10" s="318"/>
      <c r="DC10" s="318"/>
      <c r="DD10" s="318"/>
      <c r="DE10" s="318"/>
      <c r="DF10" s="318"/>
      <c r="DG10" s="318"/>
      <c r="DH10" s="318"/>
    </row>
    <row r="11" spans="1:112" s="4" customFormat="1" ht="54.75" customHeight="1" x14ac:dyDescent="0.25">
      <c r="A11" s="32"/>
      <c r="C11" s="319" t="s">
        <v>292</v>
      </c>
      <c r="D11" s="319"/>
      <c r="E11" s="319"/>
      <c r="F11" s="320" t="s">
        <v>321</v>
      </c>
      <c r="G11" s="320"/>
      <c r="H11" s="320"/>
      <c r="I11" s="321" t="str">
        <f>IF(C11&lt;&gt;"",VLOOKUP(C11,'Info General'!$C$24:$F$6991,4,0),"")</f>
        <v>Busqueda de Actividades turisticas</v>
      </c>
      <c r="J11" s="321"/>
      <c r="K11" s="321"/>
      <c r="L11" s="321"/>
      <c r="M11" s="321"/>
      <c r="N11" s="321"/>
      <c r="O11" s="321"/>
      <c r="P11" s="321"/>
      <c r="Q11" s="321"/>
      <c r="R11" s="321"/>
      <c r="S11" s="322" t="s">
        <v>337</v>
      </c>
      <c r="T11" s="322"/>
      <c r="U11" s="322"/>
      <c r="V11" s="322"/>
      <c r="W11" s="322"/>
      <c r="X11" s="322"/>
      <c r="Y11" s="322"/>
      <c r="Z11" s="322"/>
      <c r="AA11" s="322"/>
      <c r="AB11" s="322"/>
      <c r="AC11" s="322" t="s">
        <v>374</v>
      </c>
      <c r="AD11" s="322"/>
      <c r="AE11" s="322"/>
      <c r="AF11" s="322"/>
      <c r="AG11" s="322"/>
      <c r="AH11" s="322"/>
      <c r="AI11" s="322"/>
      <c r="AJ11" s="322"/>
      <c r="AK11" s="322"/>
      <c r="AL11" s="322"/>
      <c r="AM11" s="322" t="s">
        <v>338</v>
      </c>
      <c r="AN11" s="322"/>
      <c r="AO11" s="322"/>
      <c r="AP11" s="322"/>
      <c r="AQ11" s="322"/>
      <c r="AR11" s="322"/>
      <c r="AS11" s="322"/>
      <c r="AT11" s="322"/>
      <c r="AU11" s="322"/>
      <c r="AV11" s="322"/>
      <c r="AW11" s="322" t="s">
        <v>370</v>
      </c>
      <c r="AX11" s="322"/>
      <c r="AY11" s="322"/>
      <c r="AZ11" s="322"/>
      <c r="BA11" s="322"/>
      <c r="BB11" s="322"/>
      <c r="BC11" s="322"/>
      <c r="BD11" s="322"/>
      <c r="BE11" s="322"/>
      <c r="BF11" s="322"/>
      <c r="BG11" s="322"/>
      <c r="BH11" s="322"/>
      <c r="BI11" s="322"/>
      <c r="BJ11" s="322"/>
      <c r="BK11" s="322"/>
      <c r="BL11" s="322"/>
      <c r="BM11" s="322"/>
      <c r="BN11" s="322"/>
      <c r="BO11" s="322"/>
      <c r="BP11" s="322"/>
      <c r="BQ11" s="322" t="s">
        <v>339</v>
      </c>
      <c r="BR11" s="322"/>
      <c r="BS11" s="322"/>
      <c r="BT11" s="322"/>
      <c r="BU11" s="322"/>
      <c r="BV11" s="322"/>
      <c r="BW11" s="322"/>
      <c r="BX11" s="322"/>
      <c r="BY11" s="322"/>
      <c r="BZ11" s="322"/>
      <c r="CA11" s="319" t="s">
        <v>4</v>
      </c>
      <c r="CB11" s="319"/>
      <c r="CC11" s="319"/>
      <c r="CD11" s="319"/>
      <c r="CE11" s="319"/>
      <c r="CF11" s="319"/>
      <c r="CG11" s="319"/>
      <c r="CH11" s="319"/>
      <c r="CI11" s="320" t="s">
        <v>5</v>
      </c>
      <c r="CJ11" s="320"/>
      <c r="CK11" s="320"/>
      <c r="CL11" s="320"/>
      <c r="CM11" s="320"/>
      <c r="CN11" s="320"/>
      <c r="CO11" s="320"/>
      <c r="CP11" s="320"/>
      <c r="CQ11" s="320"/>
      <c r="CR11" s="323" t="str">
        <f t="shared" ref="CR11" si="3">IF(CO11="F",$V$3,IF(CO11="X",$U$3,IF(CL11="F",$V$3,IF(CL11="X",$U$3,IF(CI11="F",$V$3,IF(CI11="X",$U$3,""))))))</f>
        <v>OK</v>
      </c>
      <c r="CS11" s="323"/>
      <c r="CT11" s="323"/>
      <c r="CU11" s="320"/>
      <c r="CV11" s="320"/>
      <c r="CW11" s="320"/>
      <c r="CX11" s="320"/>
      <c r="CY11" s="320"/>
      <c r="CZ11" s="318" t="s">
        <v>354</v>
      </c>
      <c r="DA11" s="318"/>
      <c r="DB11" s="318"/>
      <c r="DC11" s="318"/>
      <c r="DD11" s="318"/>
      <c r="DE11" s="318"/>
      <c r="DF11" s="318"/>
      <c r="DG11" s="318"/>
      <c r="DH11" s="318"/>
    </row>
    <row r="12" spans="1:112" s="4" customFormat="1" ht="81" customHeight="1" x14ac:dyDescent="0.25">
      <c r="A12" s="32"/>
      <c r="C12" s="319" t="s">
        <v>292</v>
      </c>
      <c r="D12" s="319"/>
      <c r="E12" s="319"/>
      <c r="F12" s="320" t="s">
        <v>322</v>
      </c>
      <c r="G12" s="320"/>
      <c r="H12" s="320"/>
      <c r="I12" s="321" t="str">
        <f>IF(C12&lt;&gt;"",VLOOKUP(C12,'Info General'!$C$24:$F$6991,4,0),"")</f>
        <v>Busqueda de Actividades turisticas</v>
      </c>
      <c r="J12" s="321"/>
      <c r="K12" s="321"/>
      <c r="L12" s="321"/>
      <c r="M12" s="321"/>
      <c r="N12" s="321"/>
      <c r="O12" s="321"/>
      <c r="P12" s="321"/>
      <c r="Q12" s="321"/>
      <c r="R12" s="321"/>
      <c r="S12" s="322" t="s">
        <v>337</v>
      </c>
      <c r="T12" s="322"/>
      <c r="U12" s="322"/>
      <c r="V12" s="322"/>
      <c r="W12" s="322"/>
      <c r="X12" s="322"/>
      <c r="Y12" s="322"/>
      <c r="Z12" s="322"/>
      <c r="AA12" s="322"/>
      <c r="AB12" s="322"/>
      <c r="AC12" s="322" t="s">
        <v>374</v>
      </c>
      <c r="AD12" s="322"/>
      <c r="AE12" s="322"/>
      <c r="AF12" s="322"/>
      <c r="AG12" s="322"/>
      <c r="AH12" s="322"/>
      <c r="AI12" s="322"/>
      <c r="AJ12" s="322"/>
      <c r="AK12" s="322"/>
      <c r="AL12" s="322"/>
      <c r="AM12" s="322" t="s">
        <v>341</v>
      </c>
      <c r="AN12" s="322"/>
      <c r="AO12" s="322"/>
      <c r="AP12" s="322"/>
      <c r="AQ12" s="322"/>
      <c r="AR12" s="322"/>
      <c r="AS12" s="322"/>
      <c r="AT12" s="322"/>
      <c r="AU12" s="322"/>
      <c r="AV12" s="322"/>
      <c r="AW12" s="322" t="s">
        <v>369</v>
      </c>
      <c r="AX12" s="322"/>
      <c r="AY12" s="322"/>
      <c r="AZ12" s="322"/>
      <c r="BA12" s="322"/>
      <c r="BB12" s="322"/>
      <c r="BC12" s="322"/>
      <c r="BD12" s="322"/>
      <c r="BE12" s="322"/>
      <c r="BF12" s="322"/>
      <c r="BG12" s="322"/>
      <c r="BH12" s="322"/>
      <c r="BI12" s="322"/>
      <c r="BJ12" s="322"/>
      <c r="BK12" s="322"/>
      <c r="BL12" s="322"/>
      <c r="BM12" s="322"/>
      <c r="BN12" s="322"/>
      <c r="BO12" s="322"/>
      <c r="BP12" s="322"/>
      <c r="BQ12" s="322" t="s">
        <v>340</v>
      </c>
      <c r="BR12" s="322"/>
      <c r="BS12" s="322"/>
      <c r="BT12" s="322"/>
      <c r="BU12" s="322"/>
      <c r="BV12" s="322"/>
      <c r="BW12" s="322"/>
      <c r="BX12" s="322"/>
      <c r="BY12" s="322"/>
      <c r="BZ12" s="322"/>
      <c r="CA12" s="319" t="s">
        <v>3</v>
      </c>
      <c r="CB12" s="319"/>
      <c r="CC12" s="319"/>
      <c r="CD12" s="319"/>
      <c r="CE12" s="319"/>
      <c r="CF12" s="319"/>
      <c r="CG12" s="319"/>
      <c r="CH12" s="319"/>
      <c r="CI12" s="320" t="s">
        <v>5</v>
      </c>
      <c r="CJ12" s="320"/>
      <c r="CK12" s="320"/>
      <c r="CL12" s="320"/>
      <c r="CM12" s="320"/>
      <c r="CN12" s="320"/>
      <c r="CO12" s="320"/>
      <c r="CP12" s="320"/>
      <c r="CQ12" s="320"/>
      <c r="CR12" s="323" t="str">
        <f t="shared" ref="CR12" si="4">IF(CO12="F",$V$3,IF(CO12="X",$U$3,IF(CL12="F",$V$3,IF(CL12="X",$U$3,IF(CI12="F",$V$3,IF(CI12="X",$U$3,""))))))</f>
        <v>OK</v>
      </c>
      <c r="CS12" s="323"/>
      <c r="CT12" s="323"/>
      <c r="CU12" s="320"/>
      <c r="CV12" s="320"/>
      <c r="CW12" s="320"/>
      <c r="CX12" s="320"/>
      <c r="CY12" s="320"/>
      <c r="CZ12" s="318" t="s">
        <v>344</v>
      </c>
      <c r="DA12" s="318"/>
      <c r="DB12" s="318"/>
      <c r="DC12" s="318"/>
      <c r="DD12" s="318"/>
      <c r="DE12" s="318"/>
      <c r="DF12" s="318"/>
      <c r="DG12" s="318"/>
      <c r="DH12" s="318"/>
    </row>
    <row r="13" spans="1:112" s="4" customFormat="1" ht="69.75" customHeight="1" x14ac:dyDescent="0.25">
      <c r="A13" s="32"/>
      <c r="C13" s="319" t="s">
        <v>292</v>
      </c>
      <c r="D13" s="319"/>
      <c r="E13" s="319"/>
      <c r="F13" s="320" t="s">
        <v>323</v>
      </c>
      <c r="G13" s="320"/>
      <c r="H13" s="320"/>
      <c r="I13" s="321" t="str">
        <f>IF(C13&lt;&gt;"",VLOOKUP(C13,'Info General'!$C$24:$F$6991,4,0),"")</f>
        <v>Busqueda de Actividades turisticas</v>
      </c>
      <c r="J13" s="321"/>
      <c r="K13" s="321"/>
      <c r="L13" s="321"/>
      <c r="M13" s="321"/>
      <c r="N13" s="321"/>
      <c r="O13" s="321"/>
      <c r="P13" s="321"/>
      <c r="Q13" s="321"/>
      <c r="R13" s="321"/>
      <c r="S13" s="322" t="s">
        <v>342</v>
      </c>
      <c r="T13" s="322"/>
      <c r="U13" s="322"/>
      <c r="V13" s="322"/>
      <c r="W13" s="322"/>
      <c r="X13" s="322"/>
      <c r="Y13" s="322"/>
      <c r="Z13" s="322"/>
      <c r="AA13" s="322"/>
      <c r="AB13" s="322"/>
      <c r="AC13" s="322" t="s">
        <v>374</v>
      </c>
      <c r="AD13" s="322"/>
      <c r="AE13" s="322"/>
      <c r="AF13" s="322"/>
      <c r="AG13" s="322"/>
      <c r="AH13" s="322"/>
      <c r="AI13" s="322"/>
      <c r="AJ13" s="322"/>
      <c r="AK13" s="322"/>
      <c r="AL13" s="322"/>
      <c r="AM13" s="322" t="s">
        <v>343</v>
      </c>
      <c r="AN13" s="322"/>
      <c r="AO13" s="322"/>
      <c r="AP13" s="322"/>
      <c r="AQ13" s="322"/>
      <c r="AR13" s="322"/>
      <c r="AS13" s="322"/>
      <c r="AT13" s="322"/>
      <c r="AU13" s="322"/>
      <c r="AV13" s="322"/>
      <c r="AW13" s="322" t="s">
        <v>367</v>
      </c>
      <c r="AX13" s="322"/>
      <c r="AY13" s="322"/>
      <c r="AZ13" s="322"/>
      <c r="BA13" s="322"/>
      <c r="BB13" s="322"/>
      <c r="BC13" s="322"/>
      <c r="BD13" s="322"/>
      <c r="BE13" s="322"/>
      <c r="BF13" s="322"/>
      <c r="BG13" s="322"/>
      <c r="BH13" s="322"/>
      <c r="BI13" s="322"/>
      <c r="BJ13" s="322"/>
      <c r="BK13" s="322"/>
      <c r="BL13" s="322"/>
      <c r="BM13" s="322"/>
      <c r="BN13" s="322"/>
      <c r="BO13" s="322"/>
      <c r="BP13" s="322"/>
      <c r="BQ13" s="322" t="s">
        <v>340</v>
      </c>
      <c r="BR13" s="322"/>
      <c r="BS13" s="322"/>
      <c r="BT13" s="322"/>
      <c r="BU13" s="322"/>
      <c r="BV13" s="322"/>
      <c r="BW13" s="322"/>
      <c r="BX13" s="322"/>
      <c r="BY13" s="322"/>
      <c r="BZ13" s="322"/>
      <c r="CA13" s="319" t="s">
        <v>3</v>
      </c>
      <c r="CB13" s="319"/>
      <c r="CC13" s="319"/>
      <c r="CD13" s="319"/>
      <c r="CE13" s="319"/>
      <c r="CF13" s="319"/>
      <c r="CG13" s="319"/>
      <c r="CH13" s="319"/>
      <c r="CI13" s="320" t="s">
        <v>5</v>
      </c>
      <c r="CJ13" s="320"/>
      <c r="CK13" s="320"/>
      <c r="CL13" s="320"/>
      <c r="CM13" s="320"/>
      <c r="CN13" s="320"/>
      <c r="CO13" s="320"/>
      <c r="CP13" s="320"/>
      <c r="CQ13" s="320"/>
      <c r="CR13" s="323" t="str">
        <f t="shared" ref="CR13" si="5">IF(CO13="F",$V$3,IF(CO13="X",$U$3,IF(CL13="F",$V$3,IF(CL13="X",$U$3,IF(CI13="F",$V$3,IF(CI13="X",$U$3,""))))))</f>
        <v>OK</v>
      </c>
      <c r="CS13" s="323"/>
      <c r="CT13" s="323"/>
      <c r="CU13" s="320"/>
      <c r="CV13" s="320"/>
      <c r="CW13" s="320"/>
      <c r="CX13" s="320"/>
      <c r="CY13" s="320"/>
      <c r="CZ13" s="318" t="s">
        <v>345</v>
      </c>
      <c r="DA13" s="318"/>
      <c r="DB13" s="318"/>
      <c r="DC13" s="318"/>
      <c r="DD13" s="318"/>
      <c r="DE13" s="318"/>
      <c r="DF13" s="318"/>
      <c r="DG13" s="318"/>
      <c r="DH13" s="318"/>
    </row>
    <row r="14" spans="1:112" s="4" customFormat="1" ht="54.75" customHeight="1" x14ac:dyDescent="0.25">
      <c r="A14" s="32"/>
      <c r="C14" s="319" t="s">
        <v>292</v>
      </c>
      <c r="D14" s="319"/>
      <c r="E14" s="319"/>
      <c r="F14" s="320" t="s">
        <v>324</v>
      </c>
      <c r="G14" s="320"/>
      <c r="H14" s="320"/>
      <c r="I14" s="321" t="str">
        <f>IF(C14&lt;&gt;"",VLOOKUP(C14,'Info General'!$C$24:$F$6991,4,0),"")</f>
        <v>Busqueda de Actividades turisticas</v>
      </c>
      <c r="J14" s="321"/>
      <c r="K14" s="321"/>
      <c r="L14" s="321"/>
      <c r="M14" s="321"/>
      <c r="N14" s="321"/>
      <c r="O14" s="321"/>
      <c r="P14" s="321"/>
      <c r="Q14" s="321"/>
      <c r="R14" s="321"/>
      <c r="S14" s="322" t="s">
        <v>346</v>
      </c>
      <c r="T14" s="322"/>
      <c r="U14" s="322"/>
      <c r="V14" s="322"/>
      <c r="W14" s="322"/>
      <c r="X14" s="322"/>
      <c r="Y14" s="322"/>
      <c r="Z14" s="322"/>
      <c r="AA14" s="322"/>
      <c r="AB14" s="322"/>
      <c r="AC14" s="322" t="s">
        <v>368</v>
      </c>
      <c r="AD14" s="322"/>
      <c r="AE14" s="322"/>
      <c r="AF14" s="322"/>
      <c r="AG14" s="322"/>
      <c r="AH14" s="322"/>
      <c r="AI14" s="322"/>
      <c r="AJ14" s="322"/>
      <c r="AK14" s="322"/>
      <c r="AL14" s="322"/>
      <c r="AM14" s="322" t="s">
        <v>347</v>
      </c>
      <c r="AN14" s="322"/>
      <c r="AO14" s="322"/>
      <c r="AP14" s="322"/>
      <c r="AQ14" s="322"/>
      <c r="AR14" s="322"/>
      <c r="AS14" s="322"/>
      <c r="AT14" s="322"/>
      <c r="AU14" s="322"/>
      <c r="AV14" s="322"/>
      <c r="AW14" s="322" t="s">
        <v>366</v>
      </c>
      <c r="AX14" s="322"/>
      <c r="AY14" s="322"/>
      <c r="AZ14" s="322"/>
      <c r="BA14" s="322"/>
      <c r="BB14" s="322"/>
      <c r="BC14" s="322"/>
      <c r="BD14" s="322"/>
      <c r="BE14" s="322"/>
      <c r="BF14" s="322"/>
      <c r="BG14" s="322"/>
      <c r="BH14" s="322"/>
      <c r="BI14" s="322"/>
      <c r="BJ14" s="322"/>
      <c r="BK14" s="322"/>
      <c r="BL14" s="322"/>
      <c r="BM14" s="322"/>
      <c r="BN14" s="322"/>
      <c r="BO14" s="322"/>
      <c r="BP14" s="322"/>
      <c r="BQ14" s="322" t="s">
        <v>348</v>
      </c>
      <c r="BR14" s="322"/>
      <c r="BS14" s="322"/>
      <c r="BT14" s="322"/>
      <c r="BU14" s="322"/>
      <c r="BV14" s="322"/>
      <c r="BW14" s="322"/>
      <c r="BX14" s="322"/>
      <c r="BY14" s="322"/>
      <c r="BZ14" s="322"/>
      <c r="CA14" s="319" t="s">
        <v>3</v>
      </c>
      <c r="CB14" s="319"/>
      <c r="CC14" s="319"/>
      <c r="CD14" s="319"/>
      <c r="CE14" s="319"/>
      <c r="CF14" s="319"/>
      <c r="CG14" s="319"/>
      <c r="CH14" s="319"/>
      <c r="CI14" s="320" t="s">
        <v>5</v>
      </c>
      <c r="CJ14" s="320"/>
      <c r="CK14" s="320"/>
      <c r="CL14" s="320"/>
      <c r="CM14" s="320"/>
      <c r="CN14" s="320"/>
      <c r="CO14" s="320"/>
      <c r="CP14" s="320"/>
      <c r="CQ14" s="320"/>
      <c r="CR14" s="323" t="str">
        <f t="shared" ref="CR14" si="6">IF(CO14="F",$V$3,IF(CO14="X",$U$3,IF(CL14="F",$V$3,IF(CL14="X",$U$3,IF(CI14="F",$V$3,IF(CI14="X",$U$3,""))))))</f>
        <v>OK</v>
      </c>
      <c r="CS14" s="323"/>
      <c r="CT14" s="323"/>
      <c r="CU14" s="320"/>
      <c r="CV14" s="320"/>
      <c r="CW14" s="320"/>
      <c r="CX14" s="320"/>
      <c r="CY14" s="320"/>
      <c r="CZ14" s="318" t="s">
        <v>362</v>
      </c>
      <c r="DA14" s="318"/>
      <c r="DB14" s="318"/>
      <c r="DC14" s="318"/>
      <c r="DD14" s="318"/>
      <c r="DE14" s="318"/>
      <c r="DF14" s="318"/>
      <c r="DG14" s="318"/>
      <c r="DH14" s="318"/>
    </row>
    <row r="15" spans="1:112" s="4" customFormat="1" ht="54.75" customHeight="1" x14ac:dyDescent="0.25">
      <c r="A15" s="32"/>
      <c r="C15" s="319" t="s">
        <v>292</v>
      </c>
      <c r="D15" s="319"/>
      <c r="E15" s="319"/>
      <c r="F15" s="320" t="s">
        <v>325</v>
      </c>
      <c r="G15" s="320"/>
      <c r="H15" s="320"/>
      <c r="I15" s="321" t="str">
        <f>IF(C15&lt;&gt;"",VLOOKUP(C15,'Info General'!$C$24:$F$6991,4,0),"")</f>
        <v>Busqueda de Actividades turisticas</v>
      </c>
      <c r="J15" s="321"/>
      <c r="K15" s="321"/>
      <c r="L15" s="321"/>
      <c r="M15" s="321"/>
      <c r="N15" s="321"/>
      <c r="O15" s="321"/>
      <c r="P15" s="321"/>
      <c r="Q15" s="321"/>
      <c r="R15" s="321"/>
      <c r="S15" s="322" t="s">
        <v>349</v>
      </c>
      <c r="T15" s="322"/>
      <c r="U15" s="322"/>
      <c r="V15" s="322"/>
      <c r="W15" s="322"/>
      <c r="X15" s="322"/>
      <c r="Y15" s="322"/>
      <c r="Z15" s="322"/>
      <c r="AA15" s="322"/>
      <c r="AB15" s="322"/>
      <c r="AC15" s="322" t="s">
        <v>357</v>
      </c>
      <c r="AD15" s="322"/>
      <c r="AE15" s="322"/>
      <c r="AF15" s="322"/>
      <c r="AG15" s="322"/>
      <c r="AH15" s="322"/>
      <c r="AI15" s="322"/>
      <c r="AJ15" s="322"/>
      <c r="AK15" s="322"/>
      <c r="AL15" s="322"/>
      <c r="AM15" s="322" t="s">
        <v>350</v>
      </c>
      <c r="AN15" s="322"/>
      <c r="AO15" s="322"/>
      <c r="AP15" s="322"/>
      <c r="AQ15" s="322"/>
      <c r="AR15" s="322"/>
      <c r="AS15" s="322"/>
      <c r="AT15" s="322"/>
      <c r="AU15" s="322"/>
      <c r="AV15" s="322"/>
      <c r="AW15" s="322" t="s">
        <v>365</v>
      </c>
      <c r="AX15" s="322"/>
      <c r="AY15" s="322"/>
      <c r="AZ15" s="322"/>
      <c r="BA15" s="322"/>
      <c r="BB15" s="322"/>
      <c r="BC15" s="322"/>
      <c r="BD15" s="322"/>
      <c r="BE15" s="322"/>
      <c r="BF15" s="322"/>
      <c r="BG15" s="322"/>
      <c r="BH15" s="322"/>
      <c r="BI15" s="322"/>
      <c r="BJ15" s="322"/>
      <c r="BK15" s="322"/>
      <c r="BL15" s="322"/>
      <c r="BM15" s="322"/>
      <c r="BN15" s="322"/>
      <c r="BO15" s="322"/>
      <c r="BP15" s="322"/>
      <c r="BQ15" s="322" t="s">
        <v>351</v>
      </c>
      <c r="BR15" s="322"/>
      <c r="BS15" s="322"/>
      <c r="BT15" s="322"/>
      <c r="BU15" s="322"/>
      <c r="BV15" s="322"/>
      <c r="BW15" s="322"/>
      <c r="BX15" s="322"/>
      <c r="BY15" s="322"/>
      <c r="BZ15" s="322"/>
      <c r="CA15" s="319" t="s">
        <v>3</v>
      </c>
      <c r="CB15" s="319"/>
      <c r="CC15" s="319"/>
      <c r="CD15" s="319"/>
      <c r="CE15" s="319"/>
      <c r="CF15" s="319"/>
      <c r="CG15" s="319"/>
      <c r="CH15" s="319"/>
      <c r="CI15" s="320" t="s">
        <v>5</v>
      </c>
      <c r="CJ15" s="320"/>
      <c r="CK15" s="320"/>
      <c r="CL15" s="320"/>
      <c r="CM15" s="320"/>
      <c r="CN15" s="320"/>
      <c r="CO15" s="320"/>
      <c r="CP15" s="320"/>
      <c r="CQ15" s="320"/>
      <c r="CR15" s="323" t="str">
        <f t="shared" ref="CR15" si="7">IF(CO15="F",$V$3,IF(CO15="X",$U$3,IF(CL15="F",$V$3,IF(CL15="X",$U$3,IF(CI15="F",$V$3,IF(CI15="X",$U$3,""))))))</f>
        <v>OK</v>
      </c>
      <c r="CS15" s="323"/>
      <c r="CT15" s="323"/>
      <c r="CU15" s="320"/>
      <c r="CV15" s="320"/>
      <c r="CW15" s="320"/>
      <c r="CX15" s="320"/>
      <c r="CY15" s="320"/>
      <c r="CZ15" s="318" t="s">
        <v>352</v>
      </c>
      <c r="DA15" s="318"/>
      <c r="DB15" s="318"/>
      <c r="DC15" s="318"/>
      <c r="DD15" s="318"/>
      <c r="DE15" s="318"/>
      <c r="DF15" s="318"/>
      <c r="DG15" s="318"/>
      <c r="DH15" s="318"/>
    </row>
    <row r="16" spans="1:112" s="4" customFormat="1" ht="54.75" customHeight="1" x14ac:dyDescent="0.25">
      <c r="A16" s="32"/>
      <c r="C16" s="319" t="s">
        <v>292</v>
      </c>
      <c r="D16" s="319"/>
      <c r="E16" s="319"/>
      <c r="F16" s="320" t="s">
        <v>326</v>
      </c>
      <c r="G16" s="320"/>
      <c r="H16" s="320"/>
      <c r="I16" s="321" t="str">
        <f>IF(C16&lt;&gt;"",VLOOKUP(C16,'Info General'!$C$24:$F$6991,4,0),"")</f>
        <v>Busqueda de Actividades turisticas</v>
      </c>
      <c r="J16" s="321"/>
      <c r="K16" s="321"/>
      <c r="L16" s="321"/>
      <c r="M16" s="321"/>
      <c r="N16" s="321"/>
      <c r="O16" s="321"/>
      <c r="P16" s="321"/>
      <c r="Q16" s="321"/>
      <c r="R16" s="321"/>
      <c r="S16" s="322" t="s">
        <v>356</v>
      </c>
      <c r="T16" s="322"/>
      <c r="U16" s="322"/>
      <c r="V16" s="322"/>
      <c r="W16" s="322"/>
      <c r="X16" s="322"/>
      <c r="Y16" s="322"/>
      <c r="Z16" s="322"/>
      <c r="AA16" s="322"/>
      <c r="AB16" s="322"/>
      <c r="AC16" s="322" t="s">
        <v>358</v>
      </c>
      <c r="AD16" s="322"/>
      <c r="AE16" s="322"/>
      <c r="AF16" s="322"/>
      <c r="AG16" s="322"/>
      <c r="AH16" s="322"/>
      <c r="AI16" s="322"/>
      <c r="AJ16" s="322"/>
      <c r="AK16" s="322"/>
      <c r="AL16" s="322"/>
      <c r="AM16" s="322" t="s">
        <v>359</v>
      </c>
      <c r="AN16" s="322"/>
      <c r="AO16" s="322"/>
      <c r="AP16" s="322"/>
      <c r="AQ16" s="322"/>
      <c r="AR16" s="322"/>
      <c r="AS16" s="322"/>
      <c r="AT16" s="322"/>
      <c r="AU16" s="322"/>
      <c r="AV16" s="322"/>
      <c r="AW16" s="322" t="s">
        <v>364</v>
      </c>
      <c r="AX16" s="322"/>
      <c r="AY16" s="322"/>
      <c r="AZ16" s="322"/>
      <c r="BA16" s="322"/>
      <c r="BB16" s="322"/>
      <c r="BC16" s="322"/>
      <c r="BD16" s="322"/>
      <c r="BE16" s="322"/>
      <c r="BF16" s="322"/>
      <c r="BG16" s="322"/>
      <c r="BH16" s="322"/>
      <c r="BI16" s="322"/>
      <c r="BJ16" s="322"/>
      <c r="BK16" s="322"/>
      <c r="BL16" s="322"/>
      <c r="BM16" s="322"/>
      <c r="BN16" s="322"/>
      <c r="BO16" s="322"/>
      <c r="BP16" s="322"/>
      <c r="BQ16" s="322" t="s">
        <v>360</v>
      </c>
      <c r="BR16" s="322"/>
      <c r="BS16" s="322"/>
      <c r="BT16" s="322"/>
      <c r="BU16" s="322"/>
      <c r="BV16" s="322"/>
      <c r="BW16" s="322"/>
      <c r="BX16" s="322"/>
      <c r="BY16" s="322"/>
      <c r="BZ16" s="322"/>
      <c r="CA16" s="319" t="s">
        <v>3</v>
      </c>
      <c r="CB16" s="319"/>
      <c r="CC16" s="319"/>
      <c r="CD16" s="319"/>
      <c r="CE16" s="319"/>
      <c r="CF16" s="319"/>
      <c r="CG16" s="319"/>
      <c r="CH16" s="319"/>
      <c r="CI16" s="320" t="s">
        <v>5</v>
      </c>
      <c r="CJ16" s="320"/>
      <c r="CK16" s="320"/>
      <c r="CL16" s="320"/>
      <c r="CM16" s="320"/>
      <c r="CN16" s="320"/>
      <c r="CO16" s="320"/>
      <c r="CP16" s="320"/>
      <c r="CQ16" s="320"/>
      <c r="CR16" s="323" t="str">
        <f t="shared" ref="CR16" si="8">IF(CO16="F",$V$3,IF(CO16="X",$U$3,IF(CL16="F",$V$3,IF(CL16="X",$U$3,IF(CI16="F",$V$3,IF(CI16="X",$U$3,""))))))</f>
        <v>OK</v>
      </c>
      <c r="CS16" s="323"/>
      <c r="CT16" s="323"/>
      <c r="CU16" s="320"/>
      <c r="CV16" s="320"/>
      <c r="CW16" s="320"/>
      <c r="CX16" s="320"/>
      <c r="CY16" s="320"/>
      <c r="CZ16" s="318" t="s">
        <v>361</v>
      </c>
      <c r="DA16" s="318"/>
      <c r="DB16" s="318"/>
      <c r="DC16" s="318"/>
      <c r="DD16" s="318"/>
      <c r="DE16" s="318"/>
      <c r="DF16" s="318"/>
      <c r="DG16" s="318"/>
      <c r="DH16" s="318"/>
    </row>
    <row r="17" spans="1:112" s="4" customFormat="1" ht="54.75" customHeight="1" x14ac:dyDescent="0.25">
      <c r="A17" s="32"/>
      <c r="C17" s="319" t="s">
        <v>372</v>
      </c>
      <c r="D17" s="319"/>
      <c r="E17" s="319"/>
      <c r="F17" s="320" t="s">
        <v>327</v>
      </c>
      <c r="G17" s="320"/>
      <c r="H17" s="320"/>
      <c r="I17" s="321" t="e">
        <f>IF(C17&lt;&gt;"",VLOOKUP(C17,'Info General'!$C$24:$F$6991,4,0),"")</f>
        <v>#N/A</v>
      </c>
      <c r="J17" s="321"/>
      <c r="K17" s="321"/>
      <c r="L17" s="321"/>
      <c r="M17" s="321"/>
      <c r="N17" s="321"/>
      <c r="O17" s="321"/>
      <c r="P17" s="321"/>
      <c r="Q17" s="321"/>
      <c r="R17" s="321"/>
      <c r="S17" s="322" t="s">
        <v>382</v>
      </c>
      <c r="T17" s="322"/>
      <c r="U17" s="322"/>
      <c r="V17" s="322"/>
      <c r="W17" s="322"/>
      <c r="X17" s="322"/>
      <c r="Y17" s="322"/>
      <c r="Z17" s="322"/>
      <c r="AA17" s="322"/>
      <c r="AB17" s="322"/>
      <c r="AC17" s="322" t="s">
        <v>373</v>
      </c>
      <c r="AD17" s="322"/>
      <c r="AE17" s="322"/>
      <c r="AF17" s="322"/>
      <c r="AG17" s="322"/>
      <c r="AH17" s="322"/>
      <c r="AI17" s="322"/>
      <c r="AJ17" s="322"/>
      <c r="AK17" s="322"/>
      <c r="AL17" s="322"/>
      <c r="AM17" s="322" t="s">
        <v>314</v>
      </c>
      <c r="AN17" s="322"/>
      <c r="AO17" s="322"/>
      <c r="AP17" s="322"/>
      <c r="AQ17" s="322"/>
      <c r="AR17" s="322"/>
      <c r="AS17" s="322"/>
      <c r="AT17" s="322"/>
      <c r="AU17" s="322"/>
      <c r="AV17" s="322"/>
      <c r="AW17" s="322" t="s">
        <v>383</v>
      </c>
      <c r="AX17" s="322"/>
      <c r="AY17" s="322"/>
      <c r="AZ17" s="322"/>
      <c r="BA17" s="322"/>
      <c r="BB17" s="322"/>
      <c r="BC17" s="322"/>
      <c r="BD17" s="322"/>
      <c r="BE17" s="322"/>
      <c r="BF17" s="322"/>
      <c r="BG17" s="322"/>
      <c r="BH17" s="322"/>
      <c r="BI17" s="322"/>
      <c r="BJ17" s="322"/>
      <c r="BK17" s="322"/>
      <c r="BL17" s="322"/>
      <c r="BM17" s="322"/>
      <c r="BN17" s="322"/>
      <c r="BO17" s="322"/>
      <c r="BP17" s="322"/>
      <c r="BQ17" s="322" t="s">
        <v>384</v>
      </c>
      <c r="BR17" s="322"/>
      <c r="BS17" s="322"/>
      <c r="BT17" s="322"/>
      <c r="BU17" s="322"/>
      <c r="BV17" s="322"/>
      <c r="BW17" s="322"/>
      <c r="BX17" s="322"/>
      <c r="BY17" s="322"/>
      <c r="BZ17" s="322"/>
      <c r="CA17" s="319" t="s">
        <v>3</v>
      </c>
      <c r="CB17" s="319"/>
      <c r="CC17" s="319"/>
      <c r="CD17" s="319"/>
      <c r="CE17" s="319"/>
      <c r="CF17" s="319"/>
      <c r="CG17" s="319"/>
      <c r="CH17" s="319"/>
      <c r="CI17" s="320" t="s">
        <v>5</v>
      </c>
      <c r="CJ17" s="320"/>
      <c r="CK17" s="320"/>
      <c r="CL17" s="320"/>
      <c r="CM17" s="320"/>
      <c r="CN17" s="320"/>
      <c r="CO17" s="320"/>
      <c r="CP17" s="320"/>
      <c r="CQ17" s="320"/>
      <c r="CR17" s="323" t="str">
        <f t="shared" ref="CR17" si="9">IF(CO17="F",$V$3,IF(CO17="X",$U$3,IF(CL17="F",$V$3,IF(CL17="X",$U$3,IF(CI17="F",$V$3,IF(CI17="X",$U$3,""))))))</f>
        <v>OK</v>
      </c>
      <c r="CS17" s="323"/>
      <c r="CT17" s="323"/>
      <c r="CU17" s="320"/>
      <c r="CV17" s="320"/>
      <c r="CW17" s="320"/>
      <c r="CX17" s="320"/>
      <c r="CY17" s="320"/>
      <c r="CZ17" s="318" t="s">
        <v>377</v>
      </c>
      <c r="DA17" s="318"/>
      <c r="DB17" s="318"/>
      <c r="DC17" s="318"/>
      <c r="DD17" s="318"/>
      <c r="DE17" s="318"/>
      <c r="DF17" s="318"/>
      <c r="DG17" s="318"/>
      <c r="DH17" s="318"/>
    </row>
    <row r="18" spans="1:112" s="4" customFormat="1" ht="54.75" customHeight="1" x14ac:dyDescent="0.25">
      <c r="A18" s="32"/>
      <c r="C18" s="319" t="s">
        <v>372</v>
      </c>
      <c r="D18" s="319"/>
      <c r="E18" s="319"/>
      <c r="F18" s="320" t="s">
        <v>328</v>
      </c>
      <c r="G18" s="320"/>
      <c r="H18" s="320"/>
      <c r="I18" s="321" t="e">
        <f>IF(C18&lt;&gt;"",VLOOKUP(C18,'Info General'!$C$24:$F$6991,4,0),"")</f>
        <v>#N/A</v>
      </c>
      <c r="J18" s="321"/>
      <c r="K18" s="321"/>
      <c r="L18" s="321"/>
      <c r="M18" s="321"/>
      <c r="N18" s="321"/>
      <c r="O18" s="321"/>
      <c r="P18" s="321"/>
      <c r="Q18" s="321"/>
      <c r="R18" s="321"/>
      <c r="S18" s="322" t="s">
        <v>375</v>
      </c>
      <c r="T18" s="322"/>
      <c r="U18" s="322"/>
      <c r="V18" s="322"/>
      <c r="W18" s="322"/>
      <c r="X18" s="322"/>
      <c r="Y18" s="322"/>
      <c r="Z18" s="322"/>
      <c r="AA18" s="322"/>
      <c r="AB18" s="322"/>
      <c r="AC18" s="322" t="s">
        <v>373</v>
      </c>
      <c r="AD18" s="322"/>
      <c r="AE18" s="322"/>
      <c r="AF18" s="322"/>
      <c r="AG18" s="322"/>
      <c r="AH18" s="322"/>
      <c r="AI18" s="322"/>
      <c r="AJ18" s="322"/>
      <c r="AK18" s="322"/>
      <c r="AL18" s="322"/>
      <c r="AM18" s="322" t="s">
        <v>397</v>
      </c>
      <c r="AN18" s="322"/>
      <c r="AO18" s="322"/>
      <c r="AP18" s="322"/>
      <c r="AQ18" s="322"/>
      <c r="AR18" s="322"/>
      <c r="AS18" s="322"/>
      <c r="AT18" s="322"/>
      <c r="AU18" s="322"/>
      <c r="AV18" s="322"/>
      <c r="AW18" s="322" t="s">
        <v>385</v>
      </c>
      <c r="AX18" s="322"/>
      <c r="AY18" s="322"/>
      <c r="AZ18" s="322"/>
      <c r="BA18" s="322"/>
      <c r="BB18" s="322"/>
      <c r="BC18" s="322"/>
      <c r="BD18" s="322"/>
      <c r="BE18" s="322"/>
      <c r="BF18" s="322"/>
      <c r="BG18" s="322"/>
      <c r="BH18" s="322"/>
      <c r="BI18" s="322"/>
      <c r="BJ18" s="322"/>
      <c r="BK18" s="322"/>
      <c r="BL18" s="322"/>
      <c r="BM18" s="322"/>
      <c r="BN18" s="322"/>
      <c r="BO18" s="322"/>
      <c r="BP18" s="322"/>
      <c r="BQ18" s="322" t="s">
        <v>376</v>
      </c>
      <c r="BR18" s="322"/>
      <c r="BS18" s="322"/>
      <c r="BT18" s="322"/>
      <c r="BU18" s="322"/>
      <c r="BV18" s="322"/>
      <c r="BW18" s="322"/>
      <c r="BX18" s="322"/>
      <c r="BY18" s="322"/>
      <c r="BZ18" s="322"/>
      <c r="CA18" s="319" t="s">
        <v>3</v>
      </c>
      <c r="CB18" s="319"/>
      <c r="CC18" s="319"/>
      <c r="CD18" s="319"/>
      <c r="CE18" s="319"/>
      <c r="CF18" s="319"/>
      <c r="CG18" s="319"/>
      <c r="CH18" s="319"/>
      <c r="CI18" s="320" t="s">
        <v>5</v>
      </c>
      <c r="CJ18" s="320"/>
      <c r="CK18" s="320"/>
      <c r="CL18" s="320"/>
      <c r="CM18" s="320"/>
      <c r="CN18" s="320"/>
      <c r="CO18" s="320"/>
      <c r="CP18" s="320"/>
      <c r="CQ18" s="320"/>
      <c r="CR18" s="323" t="str">
        <f t="shared" ref="CR18" si="10">IF(CO18="F",$V$3,IF(CO18="X",$U$3,IF(CL18="F",$V$3,IF(CL18="X",$U$3,IF(CI18="F",$V$3,IF(CI18="X",$U$3,""))))))</f>
        <v>OK</v>
      </c>
      <c r="CS18" s="323"/>
      <c r="CT18" s="323"/>
      <c r="CU18" s="320"/>
      <c r="CV18" s="320"/>
      <c r="CW18" s="320"/>
      <c r="CX18" s="320"/>
      <c r="CY18" s="320"/>
      <c r="CZ18" s="318"/>
      <c r="DA18" s="318"/>
      <c r="DB18" s="318"/>
      <c r="DC18" s="318"/>
      <c r="DD18" s="318"/>
      <c r="DE18" s="318"/>
      <c r="DF18" s="318"/>
      <c r="DG18" s="318"/>
      <c r="DH18" s="318"/>
    </row>
    <row r="19" spans="1:112" s="4" customFormat="1" ht="54.75" customHeight="1" x14ac:dyDescent="0.25">
      <c r="A19" s="32"/>
      <c r="C19" s="319" t="s">
        <v>372</v>
      </c>
      <c r="D19" s="319"/>
      <c r="E19" s="319"/>
      <c r="F19" s="320" t="s">
        <v>329</v>
      </c>
      <c r="G19" s="320"/>
      <c r="H19" s="320"/>
      <c r="I19" s="321" t="e">
        <f>IF(C19&lt;&gt;"",VLOOKUP(C19,'Info General'!$C$24:$F$6991,4,0),"")</f>
        <v>#N/A</v>
      </c>
      <c r="J19" s="321"/>
      <c r="K19" s="321"/>
      <c r="L19" s="321"/>
      <c r="M19" s="321"/>
      <c r="N19" s="321"/>
      <c r="O19" s="321"/>
      <c r="P19" s="321"/>
      <c r="Q19" s="321"/>
      <c r="R19" s="321"/>
      <c r="S19" s="324" t="s">
        <v>386</v>
      </c>
      <c r="T19" s="325"/>
      <c r="U19" s="325"/>
      <c r="V19" s="325"/>
      <c r="W19" s="325"/>
      <c r="X19" s="325"/>
      <c r="Y19" s="325"/>
      <c r="Z19" s="325"/>
      <c r="AA19" s="325"/>
      <c r="AB19" s="326"/>
      <c r="AC19" s="324" t="s">
        <v>381</v>
      </c>
      <c r="AD19" s="325"/>
      <c r="AE19" s="325"/>
      <c r="AF19" s="325"/>
      <c r="AG19" s="325"/>
      <c r="AH19" s="325"/>
      <c r="AI19" s="325"/>
      <c r="AJ19" s="325"/>
      <c r="AK19" s="325"/>
      <c r="AL19" s="326"/>
      <c r="AM19" s="324" t="s">
        <v>396</v>
      </c>
      <c r="AN19" s="325"/>
      <c r="AO19" s="325"/>
      <c r="AP19" s="325"/>
      <c r="AQ19" s="325"/>
      <c r="AR19" s="325"/>
      <c r="AS19" s="325"/>
      <c r="AT19" s="325"/>
      <c r="AU19" s="325"/>
      <c r="AV19" s="326"/>
      <c r="AW19" s="324" t="s">
        <v>389</v>
      </c>
      <c r="AX19" s="325"/>
      <c r="AY19" s="325"/>
      <c r="AZ19" s="325"/>
      <c r="BA19" s="325"/>
      <c r="BB19" s="325"/>
      <c r="BC19" s="325"/>
      <c r="BD19" s="325"/>
      <c r="BE19" s="325"/>
      <c r="BF19" s="325"/>
      <c r="BG19" s="325"/>
      <c r="BH19" s="325"/>
      <c r="BI19" s="325"/>
      <c r="BJ19" s="325"/>
      <c r="BK19" s="325"/>
      <c r="BL19" s="325"/>
      <c r="BM19" s="325"/>
      <c r="BN19" s="325"/>
      <c r="BO19" s="325"/>
      <c r="BP19" s="326"/>
      <c r="BQ19" s="324" t="s">
        <v>387</v>
      </c>
      <c r="BR19" s="325"/>
      <c r="BS19" s="325"/>
      <c r="BT19" s="325"/>
      <c r="BU19" s="325"/>
      <c r="BV19" s="325"/>
      <c r="BW19" s="325"/>
      <c r="BX19" s="325"/>
      <c r="BY19" s="325"/>
      <c r="BZ19" s="326"/>
      <c r="CA19" s="319" t="s">
        <v>3</v>
      </c>
      <c r="CB19" s="319"/>
      <c r="CC19" s="319"/>
      <c r="CD19" s="319"/>
      <c r="CE19" s="319"/>
      <c r="CF19" s="319"/>
      <c r="CG19" s="319"/>
      <c r="CH19" s="319"/>
      <c r="CI19" s="320" t="s">
        <v>5</v>
      </c>
      <c r="CJ19" s="320"/>
      <c r="CK19" s="320"/>
      <c r="CL19" s="320"/>
      <c r="CM19" s="320"/>
      <c r="CN19" s="320"/>
      <c r="CO19" s="320"/>
      <c r="CP19" s="320"/>
      <c r="CQ19" s="320"/>
      <c r="CR19" s="323" t="str">
        <f t="shared" ref="CR19" si="11">IF(CO19="F",$V$3,IF(CO19="X",$U$3,IF(CL19="F",$V$3,IF(CL19="X",$U$3,IF(CI19="F",$V$3,IF(CI19="X",$U$3,""))))))</f>
        <v>OK</v>
      </c>
      <c r="CS19" s="323"/>
      <c r="CT19" s="323"/>
      <c r="CU19" s="320"/>
      <c r="CV19" s="320"/>
      <c r="CW19" s="320"/>
      <c r="CX19" s="320"/>
      <c r="CY19" s="320"/>
      <c r="CZ19" s="318" t="s">
        <v>388</v>
      </c>
      <c r="DA19" s="318"/>
      <c r="DB19" s="318"/>
      <c r="DC19" s="318"/>
      <c r="DD19" s="318"/>
      <c r="DE19" s="318"/>
      <c r="DF19" s="318"/>
      <c r="DG19" s="318"/>
      <c r="DH19" s="318"/>
    </row>
    <row r="20" spans="1:112" s="4" customFormat="1" ht="54.75" customHeight="1" x14ac:dyDescent="0.25">
      <c r="A20" s="32"/>
      <c r="C20" s="319" t="s">
        <v>390</v>
      </c>
      <c r="D20" s="319"/>
      <c r="E20" s="319"/>
      <c r="F20" s="320" t="s">
        <v>330</v>
      </c>
      <c r="G20" s="320"/>
      <c r="H20" s="320"/>
      <c r="I20" s="321" t="e">
        <f>IF(C20&lt;&gt;"",VLOOKUP(C20,'Info General'!$C$24:$F$6991,4,0),"")</f>
        <v>#N/A</v>
      </c>
      <c r="J20" s="321"/>
      <c r="K20" s="321"/>
      <c r="L20" s="321"/>
      <c r="M20" s="321"/>
      <c r="N20" s="321"/>
      <c r="O20" s="321"/>
      <c r="P20" s="321"/>
      <c r="Q20" s="321"/>
      <c r="R20" s="321"/>
      <c r="S20" s="322" t="s">
        <v>391</v>
      </c>
      <c r="T20" s="322"/>
      <c r="U20" s="322"/>
      <c r="V20" s="322"/>
      <c r="W20" s="322"/>
      <c r="X20" s="322"/>
      <c r="Y20" s="322"/>
      <c r="Z20" s="322"/>
      <c r="AA20" s="322"/>
      <c r="AB20" s="322"/>
      <c r="AC20" s="322" t="s">
        <v>373</v>
      </c>
      <c r="AD20" s="322"/>
      <c r="AE20" s="322"/>
      <c r="AF20" s="322"/>
      <c r="AG20" s="322"/>
      <c r="AH20" s="322"/>
      <c r="AI20" s="322"/>
      <c r="AJ20" s="322"/>
      <c r="AK20" s="322"/>
      <c r="AL20" s="322"/>
      <c r="AM20" s="322" t="s">
        <v>314</v>
      </c>
      <c r="AN20" s="322"/>
      <c r="AO20" s="322"/>
      <c r="AP20" s="322"/>
      <c r="AQ20" s="322"/>
      <c r="AR20" s="322"/>
      <c r="AS20" s="322"/>
      <c r="AT20" s="322"/>
      <c r="AU20" s="322"/>
      <c r="AV20" s="322"/>
      <c r="AW20" s="322" t="s">
        <v>399</v>
      </c>
      <c r="AX20" s="322"/>
      <c r="AY20" s="322"/>
      <c r="AZ20" s="322"/>
      <c r="BA20" s="322"/>
      <c r="BB20" s="322"/>
      <c r="BC20" s="322"/>
      <c r="BD20" s="322"/>
      <c r="BE20" s="322"/>
      <c r="BF20" s="322"/>
      <c r="BG20" s="322"/>
      <c r="BH20" s="322"/>
      <c r="BI20" s="322"/>
      <c r="BJ20" s="322"/>
      <c r="BK20" s="322"/>
      <c r="BL20" s="322"/>
      <c r="BM20" s="322"/>
      <c r="BN20" s="322"/>
      <c r="BO20" s="322"/>
      <c r="BP20" s="322"/>
      <c r="BQ20" s="322" t="s">
        <v>392</v>
      </c>
      <c r="BR20" s="322"/>
      <c r="BS20" s="322"/>
      <c r="BT20" s="322"/>
      <c r="BU20" s="322"/>
      <c r="BV20" s="322"/>
      <c r="BW20" s="322"/>
      <c r="BX20" s="322"/>
      <c r="BY20" s="322"/>
      <c r="BZ20" s="322"/>
      <c r="CA20" s="319" t="s">
        <v>3</v>
      </c>
      <c r="CB20" s="319"/>
      <c r="CC20" s="319"/>
      <c r="CD20" s="319"/>
      <c r="CE20" s="319"/>
      <c r="CF20" s="319"/>
      <c r="CG20" s="319"/>
      <c r="CH20" s="319"/>
      <c r="CI20" s="320" t="s">
        <v>5</v>
      </c>
      <c r="CJ20" s="320"/>
      <c r="CK20" s="320"/>
      <c r="CL20" s="320"/>
      <c r="CM20" s="320"/>
      <c r="CN20" s="320"/>
      <c r="CO20" s="320"/>
      <c r="CP20" s="320"/>
      <c r="CQ20" s="320"/>
      <c r="CR20" s="323" t="str">
        <f t="shared" ref="CR20" si="12">IF(CO20="F",$V$3,IF(CO20="X",$U$3,IF(CL20="F",$V$3,IF(CL20="X",$U$3,IF(CI20="F",$V$3,IF(CI20="X",$U$3,""))))))</f>
        <v>OK</v>
      </c>
      <c r="CS20" s="323"/>
      <c r="CT20" s="323"/>
      <c r="CU20" s="320"/>
      <c r="CV20" s="320"/>
      <c r="CW20" s="320"/>
      <c r="CX20" s="320"/>
      <c r="CY20" s="320"/>
      <c r="CZ20" s="318"/>
      <c r="DA20" s="318"/>
      <c r="DB20" s="318"/>
      <c r="DC20" s="318"/>
      <c r="DD20" s="318"/>
      <c r="DE20" s="318"/>
      <c r="DF20" s="318"/>
      <c r="DG20" s="318"/>
      <c r="DH20" s="318"/>
    </row>
    <row r="21" spans="1:112" s="4" customFormat="1" ht="54.75" customHeight="1" x14ac:dyDescent="0.25">
      <c r="A21" s="32"/>
      <c r="C21" s="319" t="s">
        <v>390</v>
      </c>
      <c r="D21" s="319"/>
      <c r="E21" s="319"/>
      <c r="F21" s="320" t="s">
        <v>331</v>
      </c>
      <c r="G21" s="320"/>
      <c r="H21" s="320"/>
      <c r="I21" s="321" t="e">
        <f>IF(C21&lt;&gt;"",VLOOKUP(C21,'Info General'!$C$24:$F$6991,4,0),"")</f>
        <v>#N/A</v>
      </c>
      <c r="J21" s="321"/>
      <c r="K21" s="321"/>
      <c r="L21" s="321"/>
      <c r="M21" s="321"/>
      <c r="N21" s="321"/>
      <c r="O21" s="321"/>
      <c r="P21" s="321"/>
      <c r="Q21" s="321"/>
      <c r="R21" s="321"/>
      <c r="S21" s="322" t="s">
        <v>394</v>
      </c>
      <c r="T21" s="322"/>
      <c r="U21" s="322"/>
      <c r="V21" s="322"/>
      <c r="W21" s="322"/>
      <c r="X21" s="322"/>
      <c r="Y21" s="322"/>
      <c r="Z21" s="322"/>
      <c r="AA21" s="322"/>
      <c r="AB21" s="322"/>
      <c r="AC21" s="322" t="s">
        <v>395</v>
      </c>
      <c r="AD21" s="322"/>
      <c r="AE21" s="322"/>
      <c r="AF21" s="322"/>
      <c r="AG21" s="322"/>
      <c r="AH21" s="322"/>
      <c r="AI21" s="322"/>
      <c r="AJ21" s="322"/>
      <c r="AK21" s="322"/>
      <c r="AL21" s="322"/>
      <c r="AM21" s="322" t="s">
        <v>398</v>
      </c>
      <c r="AN21" s="322"/>
      <c r="AO21" s="322"/>
      <c r="AP21" s="322"/>
      <c r="AQ21" s="322"/>
      <c r="AR21" s="322"/>
      <c r="AS21" s="322"/>
      <c r="AT21" s="322"/>
      <c r="AU21" s="322"/>
      <c r="AV21" s="322"/>
      <c r="AW21" s="322" t="s">
        <v>400</v>
      </c>
      <c r="AX21" s="322"/>
      <c r="AY21" s="322"/>
      <c r="AZ21" s="322"/>
      <c r="BA21" s="322"/>
      <c r="BB21" s="322"/>
      <c r="BC21" s="322"/>
      <c r="BD21" s="322"/>
      <c r="BE21" s="322"/>
      <c r="BF21" s="322"/>
      <c r="BG21" s="322"/>
      <c r="BH21" s="322"/>
      <c r="BI21" s="322"/>
      <c r="BJ21" s="322"/>
      <c r="BK21" s="322"/>
      <c r="BL21" s="322"/>
      <c r="BM21" s="322"/>
      <c r="BN21" s="322"/>
      <c r="BO21" s="322"/>
      <c r="BP21" s="322"/>
      <c r="BQ21" s="322" t="s">
        <v>401</v>
      </c>
      <c r="BR21" s="322"/>
      <c r="BS21" s="322"/>
      <c r="BT21" s="322"/>
      <c r="BU21" s="322"/>
      <c r="BV21" s="322"/>
      <c r="BW21" s="322"/>
      <c r="BX21" s="322"/>
      <c r="BY21" s="322"/>
      <c r="BZ21" s="322"/>
      <c r="CA21" s="319" t="s">
        <v>3</v>
      </c>
      <c r="CB21" s="319"/>
      <c r="CC21" s="319"/>
      <c r="CD21" s="319"/>
      <c r="CE21" s="319"/>
      <c r="CF21" s="319"/>
      <c r="CG21" s="319"/>
      <c r="CH21" s="319"/>
      <c r="CI21" s="320" t="s">
        <v>5</v>
      </c>
      <c r="CJ21" s="320"/>
      <c r="CK21" s="320"/>
      <c r="CL21" s="320"/>
      <c r="CM21" s="320"/>
      <c r="CN21" s="320"/>
      <c r="CO21" s="320"/>
      <c r="CP21" s="320"/>
      <c r="CQ21" s="320"/>
      <c r="CR21" s="323" t="str">
        <f t="shared" ref="CR21" si="13">IF(CO21="F",$V$3,IF(CO21="X",$U$3,IF(CL21="F",$V$3,IF(CL21="X",$U$3,IF(CI21="F",$V$3,IF(CI21="X",$U$3,""))))))</f>
        <v>OK</v>
      </c>
      <c r="CS21" s="323"/>
      <c r="CT21" s="323"/>
      <c r="CU21" s="320"/>
      <c r="CV21" s="320"/>
      <c r="CW21" s="320"/>
      <c r="CX21" s="320"/>
      <c r="CY21" s="320"/>
      <c r="CZ21" s="318"/>
      <c r="DA21" s="318"/>
      <c r="DB21" s="318"/>
      <c r="DC21" s="318"/>
      <c r="DD21" s="318"/>
      <c r="DE21" s="318"/>
      <c r="DF21" s="318"/>
      <c r="DG21" s="318"/>
      <c r="DH21" s="318"/>
    </row>
    <row r="22" spans="1:112" s="4" customFormat="1" ht="54.75" customHeight="1" x14ac:dyDescent="0.25">
      <c r="A22" s="32"/>
      <c r="C22" s="319" t="s">
        <v>390</v>
      </c>
      <c r="D22" s="319"/>
      <c r="E22" s="319"/>
      <c r="F22" s="320" t="s">
        <v>332</v>
      </c>
      <c r="G22" s="320"/>
      <c r="H22" s="320"/>
      <c r="I22" s="321" t="e">
        <f>IF(C22&lt;&gt;"",VLOOKUP(C22,'Info General'!$C$24:$F$6991,4,0),"")</f>
        <v>#N/A</v>
      </c>
      <c r="J22" s="321"/>
      <c r="K22" s="321"/>
      <c r="L22" s="321"/>
      <c r="M22" s="321"/>
      <c r="N22" s="321"/>
      <c r="O22" s="321"/>
      <c r="P22" s="321"/>
      <c r="Q22" s="321"/>
      <c r="R22" s="321"/>
      <c r="S22" s="322" t="s">
        <v>404</v>
      </c>
      <c r="T22" s="322"/>
      <c r="U22" s="322"/>
      <c r="V22" s="322"/>
      <c r="W22" s="322"/>
      <c r="X22" s="322"/>
      <c r="Y22" s="322"/>
      <c r="Z22" s="322"/>
      <c r="AA22" s="322"/>
      <c r="AB22" s="322"/>
      <c r="AC22" s="322" t="s">
        <v>402</v>
      </c>
      <c r="AD22" s="322"/>
      <c r="AE22" s="322"/>
      <c r="AF22" s="322"/>
      <c r="AG22" s="322"/>
      <c r="AH22" s="322"/>
      <c r="AI22" s="322"/>
      <c r="AJ22" s="322"/>
      <c r="AK22" s="322"/>
      <c r="AL22" s="322"/>
      <c r="AM22" s="322" t="s">
        <v>403</v>
      </c>
      <c r="AN22" s="322"/>
      <c r="AO22" s="322"/>
      <c r="AP22" s="322"/>
      <c r="AQ22" s="322"/>
      <c r="AR22" s="322"/>
      <c r="AS22" s="322"/>
      <c r="AT22" s="322"/>
      <c r="AU22" s="322"/>
      <c r="AV22" s="322"/>
      <c r="AW22" s="322" t="s">
        <v>405</v>
      </c>
      <c r="AX22" s="322"/>
      <c r="AY22" s="322"/>
      <c r="AZ22" s="322"/>
      <c r="BA22" s="322"/>
      <c r="BB22" s="322"/>
      <c r="BC22" s="322"/>
      <c r="BD22" s="322"/>
      <c r="BE22" s="322"/>
      <c r="BF22" s="322"/>
      <c r="BG22" s="322"/>
      <c r="BH22" s="322"/>
      <c r="BI22" s="322"/>
      <c r="BJ22" s="322"/>
      <c r="BK22" s="322"/>
      <c r="BL22" s="322"/>
      <c r="BM22" s="322"/>
      <c r="BN22" s="322"/>
      <c r="BO22" s="322"/>
      <c r="BP22" s="322"/>
      <c r="BQ22" s="322" t="s">
        <v>406</v>
      </c>
      <c r="BR22" s="322"/>
      <c r="BS22" s="322"/>
      <c r="BT22" s="322"/>
      <c r="BU22" s="322"/>
      <c r="BV22" s="322"/>
      <c r="BW22" s="322"/>
      <c r="BX22" s="322"/>
      <c r="BY22" s="322"/>
      <c r="BZ22" s="322"/>
      <c r="CA22" s="319" t="s">
        <v>3</v>
      </c>
      <c r="CB22" s="319"/>
      <c r="CC22" s="319"/>
      <c r="CD22" s="319"/>
      <c r="CE22" s="319"/>
      <c r="CF22" s="319"/>
      <c r="CG22" s="319"/>
      <c r="CH22" s="319"/>
      <c r="CI22" s="320" t="s">
        <v>5</v>
      </c>
      <c r="CJ22" s="320"/>
      <c r="CK22" s="320"/>
      <c r="CL22" s="320"/>
      <c r="CM22" s="320"/>
      <c r="CN22" s="320"/>
      <c r="CO22" s="320"/>
      <c r="CP22" s="320"/>
      <c r="CQ22" s="320"/>
      <c r="CR22" s="323" t="str">
        <f t="shared" ref="CR22" si="14">IF(CO22="F",$V$3,IF(CO22="X",$U$3,IF(CL22="F",$V$3,IF(CL22="X",$U$3,IF(CI22="F",$V$3,IF(CI22="X",$U$3,""))))))</f>
        <v>OK</v>
      </c>
      <c r="CS22" s="323"/>
      <c r="CT22" s="323"/>
      <c r="CU22" s="320"/>
      <c r="CV22" s="320"/>
      <c r="CW22" s="320"/>
      <c r="CX22" s="320"/>
      <c r="CY22" s="320"/>
      <c r="CZ22" s="318"/>
      <c r="DA22" s="318"/>
      <c r="DB22" s="318"/>
      <c r="DC22" s="318"/>
      <c r="DD22" s="318"/>
      <c r="DE22" s="318"/>
      <c r="DF22" s="318"/>
      <c r="DG22" s="318"/>
      <c r="DH22" s="318"/>
    </row>
    <row r="23" spans="1:112" ht="15" x14ac:dyDescent="0.25">
      <c r="A23" s="82" t="s">
        <v>161</v>
      </c>
      <c r="C23" s="331"/>
      <c r="D23" s="331"/>
      <c r="E23" s="331"/>
      <c r="F23" s="331"/>
      <c r="G23" s="331"/>
      <c r="H23" s="331"/>
      <c r="I23" s="331"/>
      <c r="J23" s="331"/>
      <c r="K23" s="331"/>
      <c r="L23" s="331"/>
      <c r="M23" s="331"/>
      <c r="N23" s="331"/>
      <c r="O23" s="331"/>
      <c r="P23" s="331"/>
      <c r="Q23" s="331"/>
      <c r="R23" s="331"/>
      <c r="S23" s="331"/>
      <c r="T23" s="331"/>
      <c r="U23" s="331"/>
      <c r="V23" s="331"/>
      <c r="W23" s="331"/>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331"/>
      <c r="AW23" s="331"/>
      <c r="AX23" s="331"/>
      <c r="AY23" s="331"/>
      <c r="AZ23" s="331"/>
      <c r="BA23" s="331"/>
      <c r="BB23" s="331"/>
      <c r="BC23" s="331"/>
      <c r="BD23" s="331"/>
      <c r="BE23" s="331"/>
      <c r="BF23" s="331"/>
      <c r="BG23" s="331"/>
      <c r="BH23" s="331"/>
      <c r="BI23" s="331"/>
      <c r="BJ23" s="331"/>
      <c r="BK23" s="331"/>
      <c r="BL23" s="331"/>
      <c r="BM23" s="331"/>
      <c r="BN23" s="331"/>
      <c r="BO23" s="331"/>
      <c r="BP23" s="331"/>
      <c r="BQ23" s="331"/>
      <c r="BR23" s="331"/>
      <c r="BS23" s="331"/>
      <c r="BT23" s="331"/>
      <c r="BU23" s="331"/>
      <c r="BV23" s="331"/>
      <c r="BW23" s="331"/>
      <c r="BX23" s="331"/>
      <c r="BY23" s="331"/>
      <c r="BZ23" s="331"/>
      <c r="CA23" s="331"/>
      <c r="CB23" s="331"/>
      <c r="CC23" s="331"/>
      <c r="CD23" s="331"/>
      <c r="CE23" s="331"/>
      <c r="CF23" s="331"/>
      <c r="CG23" s="331"/>
      <c r="CH23" s="331"/>
      <c r="CI23" s="331"/>
      <c r="CJ23" s="331"/>
      <c r="CK23" s="331"/>
      <c r="CL23" s="331"/>
      <c r="CM23" s="331"/>
      <c r="CN23" s="331"/>
      <c r="CO23" s="331"/>
      <c r="CP23" s="331"/>
      <c r="CQ23" s="331"/>
      <c r="CR23" s="331"/>
      <c r="CS23" s="331"/>
      <c r="CT23" s="331"/>
      <c r="CU23" s="331"/>
      <c r="CV23" s="331"/>
      <c r="CW23" s="331"/>
      <c r="CX23" s="331"/>
      <c r="CY23" s="331"/>
      <c r="CZ23" s="331"/>
      <c r="DA23" s="331"/>
      <c r="DB23" s="331"/>
      <c r="DC23" s="331"/>
      <c r="DD23" s="331"/>
      <c r="DE23" s="331"/>
      <c r="DF23" s="331"/>
      <c r="DG23" s="331"/>
      <c r="DH23" s="331"/>
    </row>
    <row r="24" spans="1:112" x14ac:dyDescent="0.2">
      <c r="F24" s="4"/>
      <c r="G24" s="4"/>
      <c r="H24" s="4"/>
      <c r="I24" s="4"/>
      <c r="J24" s="4"/>
      <c r="K24" s="4"/>
      <c r="L24" s="4"/>
      <c r="M24" s="4"/>
      <c r="N24" s="4"/>
      <c r="O24" s="4"/>
      <c r="P24" s="4"/>
      <c r="Q24" s="4"/>
      <c r="R24" s="4"/>
      <c r="S24" s="4"/>
      <c r="T24" s="4"/>
    </row>
    <row r="25" spans="1:112" x14ac:dyDescent="0.2">
      <c r="C25" s="149"/>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c r="AU25" s="149"/>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49"/>
      <c r="BR25" s="149"/>
      <c r="BS25" s="149"/>
      <c r="BT25" s="149"/>
      <c r="BU25" s="149"/>
      <c r="BV25" s="149"/>
      <c r="BW25" s="149"/>
      <c r="BX25" s="149"/>
      <c r="BY25" s="149"/>
      <c r="BZ25" s="149"/>
      <c r="CA25" s="149"/>
      <c r="CB25" s="149"/>
      <c r="CC25" s="149"/>
      <c r="CD25" s="149"/>
      <c r="CE25" s="149"/>
      <c r="CF25" s="149"/>
      <c r="CG25" s="149"/>
      <c r="CH25" s="149"/>
      <c r="CI25" s="149"/>
      <c r="CJ25" s="149"/>
      <c r="CK25" s="149"/>
      <c r="CL25" s="149"/>
      <c r="CM25" s="149"/>
      <c r="CN25" s="149"/>
      <c r="CO25" s="149"/>
      <c r="CP25" s="149"/>
      <c r="CQ25" s="149"/>
      <c r="CR25" s="149"/>
      <c r="CS25" s="149"/>
      <c r="CT25" s="149"/>
      <c r="CU25" s="149"/>
      <c r="CV25" s="149"/>
      <c r="CW25" s="149"/>
      <c r="CX25" s="149"/>
      <c r="CY25" s="149"/>
      <c r="CZ25" s="149"/>
      <c r="DA25" s="149"/>
      <c r="DB25" s="149"/>
      <c r="DC25" s="149"/>
      <c r="DD25" s="149"/>
      <c r="DE25" s="149"/>
      <c r="DF25" s="149"/>
      <c r="DG25" s="149"/>
      <c r="DH25" s="149"/>
    </row>
    <row r="26" spans="1:112" ht="12.75" hidden="1" customHeight="1" x14ac:dyDescent="0.2">
      <c r="F26" s="4"/>
      <c r="G26" s="4"/>
      <c r="H26" s="4"/>
      <c r="I26" s="4"/>
      <c r="J26" s="4"/>
      <c r="K26" s="4"/>
      <c r="L26" s="4"/>
      <c r="M26" s="4"/>
      <c r="N26" s="4"/>
      <c r="O26" s="4"/>
      <c r="P26" s="4"/>
      <c r="Q26" s="4"/>
      <c r="R26" s="4"/>
      <c r="S26" s="4"/>
      <c r="T26" s="4"/>
    </row>
    <row r="27" spans="1:112" x14ac:dyDescent="0.2">
      <c r="F27" s="4"/>
      <c r="G27" s="4"/>
      <c r="H27" s="4"/>
      <c r="I27" s="4"/>
      <c r="J27" s="4"/>
      <c r="K27" s="4"/>
      <c r="L27" s="4"/>
      <c r="M27" s="4"/>
      <c r="N27" s="4"/>
      <c r="O27" s="4"/>
      <c r="P27" s="4"/>
      <c r="Q27" s="4"/>
      <c r="R27" s="4"/>
      <c r="S27" s="4"/>
      <c r="T27" s="4"/>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c r="BA27" s="58"/>
      <c r="BB27" s="58"/>
      <c r="BC27" s="58"/>
      <c r="BD27" s="58"/>
    </row>
    <row r="28" spans="1:112" x14ac:dyDescent="0.2">
      <c r="F28" s="4"/>
      <c r="G28" s="4"/>
      <c r="H28" s="4"/>
      <c r="I28" s="4"/>
      <c r="J28" s="4"/>
      <c r="K28" s="4"/>
      <c r="L28" s="4"/>
      <c r="M28" s="4"/>
      <c r="N28" s="4"/>
      <c r="O28" s="4"/>
      <c r="P28" s="4"/>
      <c r="Q28" s="4"/>
      <c r="R28" s="4"/>
      <c r="S28" s="4"/>
      <c r="T28" s="4"/>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c r="BA28" s="58"/>
      <c r="BB28" s="58"/>
      <c r="BC28" s="58"/>
      <c r="BD28" s="58"/>
    </row>
    <row r="29" spans="1:112" x14ac:dyDescent="0.2">
      <c r="F29" s="4"/>
      <c r="G29" s="4"/>
      <c r="H29" s="4"/>
      <c r="I29" s="4"/>
      <c r="J29" s="4"/>
      <c r="K29" s="4"/>
      <c r="L29" s="4"/>
      <c r="M29" s="4"/>
      <c r="N29" s="4"/>
      <c r="O29" s="4"/>
      <c r="P29" s="4"/>
      <c r="Q29" s="4"/>
      <c r="R29" s="4"/>
      <c r="S29" s="4"/>
      <c r="T29" s="4"/>
    </row>
    <row r="31" spans="1:112" ht="18.75" x14ac:dyDescent="0.3">
      <c r="F31" s="4"/>
      <c r="G31" s="4"/>
      <c r="H31" s="4"/>
      <c r="I31" s="4"/>
      <c r="J31" s="4"/>
      <c r="K31" s="4"/>
      <c r="L31" s="4"/>
      <c r="M31" s="4"/>
      <c r="N31" s="4"/>
      <c r="O31" s="4"/>
      <c r="P31" s="4"/>
      <c r="Q31" s="4"/>
      <c r="R31" s="4"/>
      <c r="S31" s="4"/>
      <c r="BO31" s="86"/>
    </row>
    <row r="33" spans="6:65" x14ac:dyDescent="0.2">
      <c r="AT33" s="4"/>
      <c r="AU33" s="4"/>
      <c r="AV33" s="4"/>
      <c r="AW33" s="4"/>
      <c r="AX33" s="4"/>
      <c r="AY33" s="4"/>
      <c r="AZ33" s="4"/>
      <c r="BA33" s="4"/>
      <c r="BB33" s="4"/>
      <c r="BC33" s="4"/>
      <c r="BD33" s="4"/>
      <c r="BE33" s="4"/>
      <c r="BF33" s="4"/>
      <c r="BG33" s="4"/>
      <c r="BH33" s="4"/>
      <c r="BI33" s="4"/>
      <c r="BJ33" s="4"/>
      <c r="BK33" s="4"/>
      <c r="BL33" s="4"/>
      <c r="BM33" s="4"/>
    </row>
    <row r="34" spans="6:65" x14ac:dyDescent="0.2">
      <c r="F34" s="4"/>
      <c r="G34" s="4"/>
      <c r="H34" s="4"/>
      <c r="I34" s="4"/>
      <c r="J34" s="4"/>
      <c r="K34" s="4"/>
      <c r="L34" s="4"/>
      <c r="M34" s="4"/>
      <c r="N34" s="4"/>
      <c r="O34" s="4"/>
      <c r="P34" s="4"/>
      <c r="Q34" s="4"/>
      <c r="R34" s="4"/>
      <c r="S34" s="4"/>
      <c r="T34" s="4"/>
      <c r="U34" s="4"/>
      <c r="V34" s="4"/>
      <c r="W34" s="4"/>
      <c r="X34" s="4"/>
      <c r="Z34" s="4"/>
      <c r="AA34" s="4"/>
      <c r="AB34" s="4"/>
      <c r="AC34" s="4"/>
      <c r="AD34" s="4"/>
      <c r="AE34" s="4"/>
      <c r="AF34" s="4"/>
      <c r="AG34" s="4"/>
      <c r="AH34" s="4"/>
      <c r="AI34" s="4"/>
      <c r="AJ34" s="4"/>
      <c r="AK34" s="4"/>
      <c r="AL34" s="4"/>
      <c r="AM34" s="4"/>
      <c r="AN34" s="4"/>
      <c r="AO34" s="4"/>
      <c r="AP34" s="4"/>
      <c r="AQ34" s="4"/>
      <c r="AR34" s="4"/>
      <c r="AT34" s="4"/>
      <c r="AU34" s="4"/>
      <c r="AV34" s="4"/>
      <c r="AW34" s="4"/>
      <c r="AX34" s="4"/>
      <c r="AY34" s="4"/>
      <c r="AZ34" s="4"/>
      <c r="BA34" s="4"/>
      <c r="BB34" s="4"/>
      <c r="BC34" s="4"/>
      <c r="BD34" s="4"/>
      <c r="BE34" s="4"/>
      <c r="BF34" s="4"/>
      <c r="BG34" s="4"/>
      <c r="BH34" s="4"/>
      <c r="BI34" s="4"/>
      <c r="BJ34" s="4"/>
      <c r="BK34" s="4"/>
      <c r="BL34" s="4"/>
      <c r="BM34" s="4"/>
    </row>
    <row r="35" spans="6:65" x14ac:dyDescent="0.2">
      <c r="F35" s="4"/>
      <c r="G35" s="4"/>
      <c r="H35" s="4"/>
      <c r="I35" s="4"/>
      <c r="J35" s="4"/>
      <c r="K35" s="4"/>
      <c r="L35" s="4"/>
      <c r="M35" s="4"/>
      <c r="N35" s="4"/>
      <c r="O35" s="4"/>
      <c r="P35" s="4"/>
      <c r="Q35" s="4"/>
      <c r="R35" s="4"/>
      <c r="S35" s="4"/>
      <c r="T35" s="4"/>
      <c r="U35" s="4"/>
      <c r="V35" s="9"/>
      <c r="W35" s="9"/>
      <c r="X35" s="9"/>
      <c r="Z35" s="4"/>
      <c r="AA35" s="4"/>
      <c r="AB35" s="4"/>
      <c r="AC35" s="4"/>
      <c r="AD35" s="4"/>
      <c r="AE35" s="4"/>
      <c r="AF35" s="4"/>
      <c r="AG35" s="4"/>
      <c r="AH35" s="4"/>
      <c r="AI35" s="4"/>
      <c r="AJ35" s="4"/>
      <c r="AK35" s="4"/>
      <c r="AL35" s="4"/>
      <c r="AM35" s="4"/>
      <c r="AN35" s="4"/>
      <c r="AO35" s="4"/>
      <c r="AP35" s="4"/>
      <c r="AQ35" s="4"/>
      <c r="AR35" s="4"/>
      <c r="AT35" s="4"/>
      <c r="AU35" s="4"/>
      <c r="AV35" s="4"/>
      <c r="AW35" s="4"/>
      <c r="AX35" s="4"/>
      <c r="AY35" s="4"/>
      <c r="AZ35" s="4"/>
      <c r="BA35" s="4"/>
      <c r="BB35" s="4"/>
      <c r="BC35" s="4"/>
      <c r="BD35" s="4"/>
      <c r="BE35" s="4"/>
      <c r="BF35" s="4"/>
      <c r="BG35" s="4"/>
      <c r="BH35" s="4"/>
      <c r="BI35" s="4"/>
      <c r="BJ35" s="4"/>
      <c r="BK35" s="4"/>
      <c r="BL35" s="4"/>
      <c r="BM35" s="4"/>
    </row>
    <row r="36" spans="6:65" x14ac:dyDescent="0.2">
      <c r="F36" s="4"/>
      <c r="G36" s="4"/>
      <c r="H36" s="4"/>
      <c r="I36" s="4"/>
      <c r="J36" s="4"/>
      <c r="K36" s="4"/>
      <c r="L36" s="4"/>
      <c r="M36" s="4"/>
      <c r="N36" s="4"/>
      <c r="O36" s="4"/>
      <c r="P36" s="4"/>
      <c r="Q36" s="4"/>
      <c r="R36" s="4"/>
      <c r="S36" s="4"/>
      <c r="T36" s="4"/>
      <c r="U36" s="4"/>
      <c r="V36" s="8"/>
      <c r="W36" s="8"/>
      <c r="X36" s="8"/>
      <c r="Z36" s="4"/>
      <c r="AA36" s="4"/>
      <c r="AB36" s="4"/>
      <c r="AC36" s="4"/>
      <c r="AD36" s="4"/>
      <c r="AE36" s="4"/>
      <c r="AF36" s="4"/>
      <c r="AG36" s="4"/>
      <c r="AH36" s="4"/>
      <c r="AI36" s="4"/>
      <c r="AJ36" s="4"/>
      <c r="AK36" s="4"/>
      <c r="AL36" s="4"/>
      <c r="AM36" s="4"/>
      <c r="AN36" s="4"/>
      <c r="AO36" s="4"/>
      <c r="AP36" s="4"/>
      <c r="AQ36" s="4"/>
      <c r="AR36" s="4"/>
      <c r="AT36" s="4"/>
      <c r="AU36" s="4"/>
      <c r="AV36" s="4"/>
      <c r="AW36" s="4"/>
      <c r="AX36" s="4"/>
      <c r="AY36" s="4"/>
      <c r="AZ36" s="4"/>
      <c r="BA36" s="4"/>
      <c r="BB36" s="4"/>
      <c r="BC36" s="4"/>
      <c r="BD36" s="4"/>
      <c r="BE36" s="4"/>
      <c r="BF36" s="4"/>
      <c r="BG36" s="4"/>
      <c r="BH36" s="4"/>
      <c r="BI36" s="4"/>
      <c r="BJ36" s="4"/>
      <c r="BK36" s="4"/>
      <c r="BL36" s="4"/>
      <c r="BM36" s="4"/>
    </row>
    <row r="37" spans="6:65" x14ac:dyDescent="0.2">
      <c r="F37" s="4"/>
      <c r="G37" s="4"/>
      <c r="H37" s="4"/>
      <c r="I37" s="4"/>
      <c r="J37" s="4"/>
      <c r="K37" s="4"/>
      <c r="L37" s="4"/>
      <c r="M37" s="4"/>
      <c r="N37" s="4"/>
      <c r="O37" s="4"/>
      <c r="P37" s="4"/>
      <c r="Q37" s="4"/>
      <c r="R37" s="4"/>
      <c r="S37" s="4"/>
      <c r="T37" s="4"/>
      <c r="U37" s="4"/>
      <c r="V37" s="8"/>
      <c r="W37" s="8"/>
      <c r="X37" s="8"/>
      <c r="Z37" s="4"/>
      <c r="AA37" s="4"/>
      <c r="AB37" s="4"/>
      <c r="AC37" s="4"/>
      <c r="AD37" s="4"/>
      <c r="AE37" s="4"/>
      <c r="AF37" s="4"/>
      <c r="AG37" s="4"/>
      <c r="AH37" s="4"/>
      <c r="AI37" s="4"/>
      <c r="AJ37" s="4"/>
      <c r="AK37" s="4"/>
      <c r="AL37" s="4"/>
      <c r="AM37" s="4"/>
      <c r="AN37" s="4"/>
      <c r="AO37" s="4"/>
      <c r="AP37" s="4"/>
      <c r="AQ37" s="4"/>
      <c r="AR37" s="4"/>
      <c r="AT37" s="4"/>
      <c r="AU37" s="4"/>
      <c r="AV37" s="4"/>
      <c r="AW37" s="4"/>
      <c r="AX37" s="4"/>
      <c r="AY37" s="4"/>
      <c r="AZ37" s="4"/>
      <c r="BA37" s="4"/>
      <c r="BB37" s="4"/>
      <c r="BC37" s="4"/>
      <c r="BD37" s="4"/>
      <c r="BE37" s="4"/>
      <c r="BF37" s="4"/>
      <c r="BG37" s="4"/>
      <c r="BH37" s="4"/>
      <c r="BI37" s="4"/>
      <c r="BJ37" s="4"/>
      <c r="BK37" s="4"/>
      <c r="BL37" s="4"/>
      <c r="BM37" s="4"/>
    </row>
    <row r="38" spans="6:65" x14ac:dyDescent="0.2">
      <c r="F38" s="4"/>
      <c r="G38" s="4"/>
      <c r="H38" s="4"/>
      <c r="I38" s="4"/>
      <c r="J38" s="4"/>
      <c r="K38" s="4"/>
      <c r="L38" s="4"/>
      <c r="M38" s="4"/>
      <c r="N38" s="4"/>
      <c r="O38" s="4"/>
      <c r="P38" s="4"/>
      <c r="Q38" s="4"/>
      <c r="R38" s="4"/>
      <c r="S38" s="4"/>
      <c r="T38" s="4"/>
      <c r="U38" s="4"/>
      <c r="V38" s="8"/>
      <c r="W38" s="8"/>
      <c r="X38" s="8"/>
      <c r="Z38" s="4"/>
      <c r="AA38" s="4"/>
      <c r="AB38" s="4"/>
      <c r="AC38" s="4"/>
      <c r="AD38" s="4"/>
      <c r="AE38" s="4"/>
      <c r="AF38" s="4"/>
      <c r="AG38" s="4"/>
      <c r="AH38" s="4"/>
      <c r="AI38" s="4"/>
      <c r="AJ38" s="4"/>
      <c r="AK38" s="4"/>
      <c r="AL38" s="4"/>
      <c r="AM38" s="4"/>
      <c r="AN38" s="4"/>
      <c r="AO38" s="4"/>
      <c r="AP38" s="4"/>
      <c r="AQ38" s="4"/>
      <c r="AR38" s="4"/>
      <c r="AT38" s="4"/>
      <c r="AU38" s="4"/>
      <c r="AV38" s="4"/>
      <c r="AW38" s="4"/>
      <c r="AX38" s="4"/>
      <c r="AY38" s="4"/>
      <c r="AZ38" s="4"/>
      <c r="BA38" s="4"/>
      <c r="BB38" s="4"/>
      <c r="BC38" s="4"/>
      <c r="BD38" s="4"/>
      <c r="BE38" s="4"/>
      <c r="BF38" s="4"/>
      <c r="BG38" s="4"/>
      <c r="BH38" s="4"/>
      <c r="BI38" s="4"/>
      <c r="BJ38" s="4"/>
      <c r="BK38" s="4"/>
      <c r="BL38" s="4"/>
      <c r="BM38" s="4"/>
    </row>
    <row r="39" spans="6:65" x14ac:dyDescent="0.2">
      <c r="F39" s="4"/>
      <c r="G39" s="4"/>
      <c r="H39" s="4"/>
      <c r="I39" s="4"/>
      <c r="J39" s="4"/>
      <c r="K39" s="4"/>
      <c r="L39" s="4"/>
      <c r="M39" s="4"/>
      <c r="N39" s="4"/>
      <c r="O39" s="4"/>
      <c r="P39" s="4"/>
      <c r="Q39" s="4"/>
      <c r="R39" s="4"/>
      <c r="S39" s="4"/>
      <c r="T39" s="4"/>
      <c r="U39" s="4"/>
      <c r="V39" s="4"/>
      <c r="W39" s="4"/>
      <c r="X39" s="4"/>
      <c r="Z39" s="4"/>
      <c r="AA39" s="4"/>
      <c r="AB39" s="4"/>
      <c r="AC39" s="4"/>
      <c r="AD39" s="4"/>
      <c r="AE39" s="4"/>
      <c r="AF39" s="4"/>
      <c r="AG39" s="4"/>
      <c r="AH39" s="4"/>
      <c r="AI39" s="4"/>
      <c r="AJ39" s="4"/>
      <c r="AK39" s="4"/>
      <c r="AL39" s="4"/>
      <c r="AM39" s="4"/>
      <c r="AN39" s="4"/>
      <c r="AO39" s="4"/>
      <c r="AP39" s="4"/>
      <c r="AQ39" s="4"/>
      <c r="AR39" s="4"/>
      <c r="AT39" s="4"/>
      <c r="AU39" s="4"/>
      <c r="AV39" s="4"/>
      <c r="AW39" s="4"/>
      <c r="AX39" s="4"/>
      <c r="AY39" s="4"/>
      <c r="AZ39" s="4"/>
      <c r="BA39" s="4"/>
      <c r="BB39" s="4"/>
      <c r="BC39" s="4"/>
      <c r="BD39" s="4"/>
      <c r="BE39" s="4"/>
      <c r="BF39" s="4"/>
      <c r="BG39" s="4"/>
      <c r="BH39" s="4"/>
      <c r="BI39" s="4"/>
      <c r="BJ39" s="4"/>
      <c r="BK39" s="4"/>
      <c r="BL39" s="4"/>
      <c r="BM39" s="4"/>
    </row>
    <row r="40" spans="6:65" x14ac:dyDescent="0.2">
      <c r="F40" s="3"/>
    </row>
    <row r="41" spans="6:65" x14ac:dyDescent="0.2">
      <c r="F41" s="4"/>
      <c r="G41" s="4"/>
      <c r="H41" s="4"/>
      <c r="I41" s="4"/>
      <c r="J41" s="4"/>
      <c r="K41" s="4"/>
      <c r="L41" s="4"/>
      <c r="M41" s="4"/>
      <c r="N41" s="4"/>
      <c r="O41" s="4"/>
      <c r="P41" s="4"/>
      <c r="Q41" s="4"/>
      <c r="R41" s="4"/>
      <c r="S41" s="4"/>
    </row>
    <row r="42" spans="6:65" x14ac:dyDescent="0.2">
      <c r="AV42" s="7"/>
      <c r="AW42" s="7"/>
      <c r="AX42" s="7"/>
      <c r="AY42" s="7"/>
      <c r="AZ42" s="7"/>
      <c r="BA42" s="7"/>
      <c r="BB42" s="7"/>
      <c r="BC42" s="7"/>
      <c r="BD42" s="7"/>
      <c r="BE42" s="6"/>
      <c r="BF42" s="6"/>
      <c r="BG42" s="6"/>
      <c r="BH42" s="6"/>
      <c r="BI42" s="6"/>
      <c r="BJ42" s="6"/>
      <c r="BK42" s="6"/>
      <c r="BL42" s="6"/>
      <c r="BM42" s="6"/>
    </row>
    <row r="48" spans="6:65" ht="12.75" hidden="1" customHeight="1" x14ac:dyDescent="0.2"/>
    <row r="49" spans="48:62" ht="12.75" hidden="1" customHeight="1" x14ac:dyDescent="0.2"/>
    <row r="50" spans="48:62" x14ac:dyDescent="0.2">
      <c r="AV50" s="5"/>
      <c r="AW50" s="5"/>
      <c r="AX50" s="5"/>
      <c r="AY50" s="5"/>
      <c r="AZ50" s="5"/>
      <c r="BA50" s="5"/>
      <c r="BB50" s="5"/>
      <c r="BC50" s="5"/>
      <c r="BD50" s="5"/>
      <c r="BE50" s="5"/>
      <c r="BF50" s="5"/>
      <c r="BG50" s="5"/>
      <c r="BH50" s="5"/>
      <c r="BI50" s="5"/>
      <c r="BJ50" s="5"/>
    </row>
    <row r="51" spans="48:62" x14ac:dyDescent="0.2">
      <c r="AV51" s="5"/>
      <c r="AW51" s="5"/>
      <c r="AX51" s="5"/>
      <c r="AY51" s="5"/>
      <c r="AZ51" s="5"/>
      <c r="BA51" s="5"/>
      <c r="BB51" s="5"/>
      <c r="BC51" s="5"/>
      <c r="BD51" s="5"/>
      <c r="BE51" s="5"/>
      <c r="BF51" s="5"/>
      <c r="BG51" s="5"/>
      <c r="BH51" s="5"/>
      <c r="BI51" s="5"/>
      <c r="BJ51" s="5"/>
    </row>
    <row r="52" spans="48:62" x14ac:dyDescent="0.2">
      <c r="AV52" s="5"/>
      <c r="AW52" s="5"/>
      <c r="AX52" s="5"/>
      <c r="AY52" s="5"/>
      <c r="AZ52" s="5"/>
      <c r="BA52" s="5"/>
      <c r="BB52" s="5"/>
      <c r="BC52" s="5"/>
      <c r="BD52" s="5"/>
      <c r="BE52" s="5"/>
      <c r="BF52" s="5"/>
      <c r="BG52" s="5"/>
      <c r="BH52" s="5"/>
      <c r="BI52" s="5"/>
      <c r="BJ52" s="5"/>
    </row>
    <row r="53" spans="48:62" x14ac:dyDescent="0.2">
      <c r="AV53" s="5"/>
      <c r="AW53" s="5"/>
      <c r="AX53" s="5"/>
      <c r="AY53" s="5"/>
      <c r="AZ53" s="5"/>
      <c r="BA53" s="5"/>
      <c r="BB53" s="5"/>
      <c r="BC53" s="5"/>
      <c r="BD53" s="5"/>
      <c r="BE53" s="5"/>
      <c r="BF53" s="5"/>
      <c r="BG53" s="5"/>
      <c r="BH53" s="5"/>
      <c r="BI53" s="5"/>
      <c r="BJ53" s="5"/>
    </row>
    <row r="54" spans="48:62" x14ac:dyDescent="0.2">
      <c r="AV54" s="5"/>
      <c r="AW54" s="5"/>
      <c r="AX54" s="5"/>
      <c r="AY54" s="5"/>
      <c r="AZ54" s="5"/>
      <c r="BA54" s="5"/>
      <c r="BB54" s="5"/>
      <c r="BC54" s="5"/>
      <c r="BD54" s="5"/>
    </row>
    <row r="55" spans="48:62" ht="12.75" hidden="1" customHeight="1" x14ac:dyDescent="0.2"/>
  </sheetData>
  <sheetProtection algorithmName="SHA-512" hashValue="fQWKLejQSVEXH/xTh592LNNxPMqfMxtMFzJxAtMEO7ZQ+MFf6tPNjy3Cq4bAN7n7KckiPX+brEch829ESklWqA==" saltValue="kZY+DfWeX49UUPSDqIou/g==" spinCount="100000" sheet="1" objects="1" scenarios="1" formatCells="0" formatRows="0" selectLockedCells="1" autoFilter="0"/>
  <autoFilter ref="C7:DH7">
    <filterColumn colId="0" showButton="0"/>
    <filterColumn colId="1" showButton="0"/>
    <filterColumn colId="3" showButton="0"/>
    <filterColumn colId="4"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filterColumn colId="26" showButton="0"/>
    <filterColumn colId="27" showButton="0"/>
    <filterColumn colId="28" showButton="0"/>
    <filterColumn colId="29" showButton="0"/>
    <filterColumn colId="30" showButton="0"/>
    <filterColumn colId="31" showButton="0"/>
    <filterColumn colId="32" showButton="0"/>
    <filterColumn colId="33" showButton="0"/>
    <filterColumn colId="34" showButton="0"/>
    <filterColumn colId="36" showButton="0"/>
    <filterColumn colId="37" showButton="0"/>
    <filterColumn colId="38" showButton="0"/>
    <filterColumn colId="39" showButton="0"/>
    <filterColumn colId="40" showButton="0"/>
    <filterColumn colId="41" showButton="0"/>
    <filterColumn colId="42" showButton="0"/>
    <filterColumn colId="43" showButton="0"/>
    <filterColumn colId="44" showButton="0"/>
    <filterColumn colId="46" showButton="0"/>
    <filterColumn colId="47" showButton="0"/>
    <filterColumn colId="48" showButton="0"/>
    <filterColumn colId="49" showButton="0"/>
    <filterColumn colId="50" showButton="0"/>
    <filterColumn colId="51" showButton="0"/>
    <filterColumn colId="52" showButton="0"/>
    <filterColumn colId="53" showButton="0"/>
    <filterColumn colId="54" showButton="0"/>
    <filterColumn colId="55" showButton="0"/>
    <filterColumn colId="56" showButton="0"/>
    <filterColumn colId="57" showButton="0"/>
    <filterColumn colId="58" showButton="0"/>
    <filterColumn colId="59" showButton="0"/>
    <filterColumn colId="60" showButton="0"/>
    <filterColumn colId="61" showButton="0"/>
    <filterColumn colId="62" showButton="0"/>
    <filterColumn colId="63" showButton="0"/>
    <filterColumn colId="64" showButton="0"/>
    <filterColumn colId="66" showButton="0"/>
    <filterColumn colId="67" showButton="0"/>
    <filterColumn colId="68" showButton="0"/>
    <filterColumn colId="69" showButton="0"/>
    <filterColumn colId="70" showButton="0"/>
    <filterColumn colId="71" showButton="0"/>
    <filterColumn colId="72" showButton="0"/>
    <filterColumn colId="73" showButton="0"/>
    <filterColumn colId="74" showButton="0"/>
    <filterColumn colId="76" showButton="0"/>
    <filterColumn colId="77" showButton="0"/>
    <filterColumn colId="78" showButton="0"/>
    <filterColumn colId="79" showButton="0"/>
    <filterColumn colId="81" showButton="0"/>
    <filterColumn colId="82" showButton="0"/>
    <filterColumn colId="84" showButton="0"/>
    <filterColumn colId="85" showButton="0"/>
    <filterColumn colId="87" showButton="0"/>
    <filterColumn colId="88" showButton="0"/>
    <filterColumn colId="90" showButton="0"/>
    <filterColumn colId="91" showButton="0"/>
    <filterColumn colId="93" showButton="0"/>
    <filterColumn colId="94" showButton="0"/>
    <filterColumn colId="96" showButton="0"/>
    <filterColumn colId="97" showButton="0"/>
    <filterColumn colId="98" showButton="0"/>
    <filterColumn colId="99" showButton="0"/>
    <filterColumn colId="101" showButton="0"/>
    <filterColumn colId="102" showButton="0"/>
    <filterColumn colId="103" showButton="0"/>
    <filterColumn colId="104" showButton="0"/>
    <filterColumn colId="105" showButton="0"/>
    <filterColumn colId="106" showButton="0"/>
    <filterColumn colId="107" showButton="0"/>
    <filterColumn colId="108" showButton="0"/>
  </autoFilter>
  <mergeCells count="266">
    <mergeCell ref="C25:DH25"/>
    <mergeCell ref="BQ8:BZ8"/>
    <mergeCell ref="CA8:CE8"/>
    <mergeCell ref="CF8:CH8"/>
    <mergeCell ref="C8:E8"/>
    <mergeCell ref="F8:H8"/>
    <mergeCell ref="I8:R8"/>
    <mergeCell ref="S8:AB8"/>
    <mergeCell ref="AC8:AL8"/>
    <mergeCell ref="C23:DH23"/>
    <mergeCell ref="CZ8:DH8"/>
    <mergeCell ref="CI8:CK8"/>
    <mergeCell ref="CL8:CN8"/>
    <mergeCell ref="CO8:CQ8"/>
    <mergeCell ref="CU8:CY8"/>
    <mergeCell ref="AM8:AV8"/>
    <mergeCell ref="CA9:CE9"/>
    <mergeCell ref="CF9:CH9"/>
    <mergeCell ref="C9:E9"/>
    <mergeCell ref="F9:H9"/>
    <mergeCell ref="I9:R9"/>
    <mergeCell ref="S9:AB9"/>
    <mergeCell ref="AC9:AL9"/>
    <mergeCell ref="CZ9:DH9"/>
    <mergeCell ref="CZ7:DH7"/>
    <mergeCell ref="CR6:DH6"/>
    <mergeCell ref="F7:H7"/>
    <mergeCell ref="I7:R7"/>
    <mergeCell ref="S7:AB7"/>
    <mergeCell ref="I6:CH6"/>
    <mergeCell ref="BQ7:BZ7"/>
    <mergeCell ref="AC7:AL7"/>
    <mergeCell ref="AM7:AV7"/>
    <mergeCell ref="AW7:BP7"/>
    <mergeCell ref="C6:H6"/>
    <mergeCell ref="C7:E7"/>
    <mergeCell ref="CI6:CQ6"/>
    <mergeCell ref="CR7:CT7"/>
    <mergeCell ref="CU7:CY7"/>
    <mergeCell ref="CA7:CE7"/>
    <mergeCell ref="S2:Z2"/>
    <mergeCell ref="CR8:CT8"/>
    <mergeCell ref="AA2:AI2"/>
    <mergeCell ref="AQ3:AU3"/>
    <mergeCell ref="AV3:BA3"/>
    <mergeCell ref="AW8:BP8"/>
    <mergeCell ref="CF7:CH7"/>
    <mergeCell ref="CO7:CQ7"/>
    <mergeCell ref="CL7:CN7"/>
    <mergeCell ref="CI7:CK7"/>
    <mergeCell ref="CI9:CK9"/>
    <mergeCell ref="CL9:CN9"/>
    <mergeCell ref="CO9:CQ9"/>
    <mergeCell ref="CR9:CT9"/>
    <mergeCell ref="CU9:CY9"/>
    <mergeCell ref="C10:E10"/>
    <mergeCell ref="F10:H10"/>
    <mergeCell ref="I10:R10"/>
    <mergeCell ref="S10:AB10"/>
    <mergeCell ref="AC10:AL10"/>
    <mergeCell ref="AM10:AV10"/>
    <mergeCell ref="AW10:BP10"/>
    <mergeCell ref="BQ10:BZ10"/>
    <mergeCell ref="CA10:CE10"/>
    <mergeCell ref="CZ10:DH10"/>
    <mergeCell ref="C11:E11"/>
    <mergeCell ref="F11:H11"/>
    <mergeCell ref="I11:R11"/>
    <mergeCell ref="S11:AB11"/>
    <mergeCell ref="AC11:AL11"/>
    <mergeCell ref="AM11:AV11"/>
    <mergeCell ref="AW11:BP11"/>
    <mergeCell ref="BQ11:BZ11"/>
    <mergeCell ref="CA11:CE11"/>
    <mergeCell ref="CF11:CH11"/>
    <mergeCell ref="CI11:CK11"/>
    <mergeCell ref="CL11:CN11"/>
    <mergeCell ref="CO11:CQ11"/>
    <mergeCell ref="CR11:CT11"/>
    <mergeCell ref="CU11:CY11"/>
    <mergeCell ref="CZ11:DH11"/>
    <mergeCell ref="CF10:CH10"/>
    <mergeCell ref="CI10:CK10"/>
    <mergeCell ref="CL10:CN10"/>
    <mergeCell ref="CO10:CQ10"/>
    <mergeCell ref="CR10:CT10"/>
    <mergeCell ref="CU10:CY10"/>
    <mergeCell ref="F12:H12"/>
    <mergeCell ref="I12:R12"/>
    <mergeCell ref="S12:AB12"/>
    <mergeCell ref="AC12:AL12"/>
    <mergeCell ref="AM12:AV12"/>
    <mergeCell ref="AW12:BP12"/>
    <mergeCell ref="BQ12:BZ12"/>
    <mergeCell ref="CA12:CE12"/>
    <mergeCell ref="AM9:AV9"/>
    <mergeCell ref="AW9:BP9"/>
    <mergeCell ref="BQ9:BZ9"/>
    <mergeCell ref="CF12:CH12"/>
    <mergeCell ref="CI12:CK12"/>
    <mergeCell ref="CL12:CN12"/>
    <mergeCell ref="CO12:CQ12"/>
    <mergeCell ref="CR12:CT12"/>
    <mergeCell ref="CU12:CY12"/>
    <mergeCell ref="CZ12:DH12"/>
    <mergeCell ref="C13:E13"/>
    <mergeCell ref="F13:H13"/>
    <mergeCell ref="I13:R13"/>
    <mergeCell ref="S13:AB13"/>
    <mergeCell ref="AC13:AL13"/>
    <mergeCell ref="AM13:AV13"/>
    <mergeCell ref="AW13:BP13"/>
    <mergeCell ref="BQ13:BZ13"/>
    <mergeCell ref="CA13:CE13"/>
    <mergeCell ref="CF13:CH13"/>
    <mergeCell ref="CI13:CK13"/>
    <mergeCell ref="CL13:CN13"/>
    <mergeCell ref="CO13:CQ13"/>
    <mergeCell ref="CR13:CT13"/>
    <mergeCell ref="CU13:CY13"/>
    <mergeCell ref="CZ13:DH13"/>
    <mergeCell ref="C12:E12"/>
    <mergeCell ref="CI14:CK14"/>
    <mergeCell ref="CL14:CN14"/>
    <mergeCell ref="CO14:CQ14"/>
    <mergeCell ref="CR14:CT14"/>
    <mergeCell ref="CU14:CY14"/>
    <mergeCell ref="CZ14:DH14"/>
    <mergeCell ref="C15:E15"/>
    <mergeCell ref="F15:H15"/>
    <mergeCell ref="I15:R15"/>
    <mergeCell ref="S15:AB15"/>
    <mergeCell ref="AC15:AL15"/>
    <mergeCell ref="AM15:AV15"/>
    <mergeCell ref="AW15:BP15"/>
    <mergeCell ref="BQ15:BZ15"/>
    <mergeCell ref="CA15:CE15"/>
    <mergeCell ref="CF15:CH15"/>
    <mergeCell ref="CI15:CK15"/>
    <mergeCell ref="CL15:CN15"/>
    <mergeCell ref="CO15:CQ15"/>
    <mergeCell ref="CR15:CT15"/>
    <mergeCell ref="CU15:CY15"/>
    <mergeCell ref="CZ15:DH15"/>
    <mergeCell ref="C14:E14"/>
    <mergeCell ref="F14:H14"/>
    <mergeCell ref="F16:H16"/>
    <mergeCell ref="I16:R16"/>
    <mergeCell ref="S16:AB16"/>
    <mergeCell ref="AC16:AL16"/>
    <mergeCell ref="AM16:AV16"/>
    <mergeCell ref="AW16:BP16"/>
    <mergeCell ref="BQ16:BZ16"/>
    <mergeCell ref="CA16:CE16"/>
    <mergeCell ref="CF14:CH14"/>
    <mergeCell ref="I14:R14"/>
    <mergeCell ref="S14:AB14"/>
    <mergeCell ref="AC14:AL14"/>
    <mergeCell ref="AM14:AV14"/>
    <mergeCell ref="AW14:BP14"/>
    <mergeCell ref="BQ14:BZ14"/>
    <mergeCell ref="CA14:CE14"/>
    <mergeCell ref="CF16:CH16"/>
    <mergeCell ref="CI16:CK16"/>
    <mergeCell ref="CL16:CN16"/>
    <mergeCell ref="CO16:CQ16"/>
    <mergeCell ref="CR16:CT16"/>
    <mergeCell ref="CU16:CY16"/>
    <mergeCell ref="CZ16:DH16"/>
    <mergeCell ref="C17:E17"/>
    <mergeCell ref="F17:H17"/>
    <mergeCell ref="I17:R17"/>
    <mergeCell ref="S17:AB17"/>
    <mergeCell ref="AC17:AL17"/>
    <mergeCell ref="AM17:AV17"/>
    <mergeCell ref="AW17:BP17"/>
    <mergeCell ref="BQ17:BZ17"/>
    <mergeCell ref="CA17:CE17"/>
    <mergeCell ref="CF17:CH17"/>
    <mergeCell ref="CI17:CK17"/>
    <mergeCell ref="CL17:CN17"/>
    <mergeCell ref="CO17:CQ17"/>
    <mergeCell ref="CR17:CT17"/>
    <mergeCell ref="CU17:CY17"/>
    <mergeCell ref="CZ17:DH17"/>
    <mergeCell ref="C16:E16"/>
    <mergeCell ref="CL18:CN18"/>
    <mergeCell ref="CO18:CQ18"/>
    <mergeCell ref="CR18:CT18"/>
    <mergeCell ref="CU18:CY18"/>
    <mergeCell ref="CZ18:DH18"/>
    <mergeCell ref="C19:E19"/>
    <mergeCell ref="F19:H19"/>
    <mergeCell ref="I19:R19"/>
    <mergeCell ref="S19:AB19"/>
    <mergeCell ref="AC19:AL19"/>
    <mergeCell ref="AM19:AV19"/>
    <mergeCell ref="AW19:BP19"/>
    <mergeCell ref="BQ19:BZ19"/>
    <mergeCell ref="CA19:CE19"/>
    <mergeCell ref="CF19:CH19"/>
    <mergeCell ref="CI19:CK19"/>
    <mergeCell ref="CL19:CN19"/>
    <mergeCell ref="CO19:CQ19"/>
    <mergeCell ref="CR19:CT19"/>
    <mergeCell ref="CU19:CY19"/>
    <mergeCell ref="CZ19:DH19"/>
    <mergeCell ref="C18:E18"/>
    <mergeCell ref="F18:H18"/>
    <mergeCell ref="I18:R18"/>
    <mergeCell ref="I20:R20"/>
    <mergeCell ref="S20:AB20"/>
    <mergeCell ref="AC20:AL20"/>
    <mergeCell ref="AM20:AV20"/>
    <mergeCell ref="AW20:BP20"/>
    <mergeCell ref="BQ20:BZ20"/>
    <mergeCell ref="CA20:CE20"/>
    <mergeCell ref="CF18:CH18"/>
    <mergeCell ref="CI18:CK18"/>
    <mergeCell ref="S18:AB18"/>
    <mergeCell ref="AC18:AL18"/>
    <mergeCell ref="AM18:AV18"/>
    <mergeCell ref="AW18:BP18"/>
    <mergeCell ref="BQ18:BZ18"/>
    <mergeCell ref="CA18:CE18"/>
    <mergeCell ref="CF20:CH20"/>
    <mergeCell ref="CI20:CK20"/>
    <mergeCell ref="CL20:CN20"/>
    <mergeCell ref="CO20:CQ20"/>
    <mergeCell ref="CR20:CT20"/>
    <mergeCell ref="CU20:CY20"/>
    <mergeCell ref="CZ20:DH20"/>
    <mergeCell ref="C21:E21"/>
    <mergeCell ref="F21:H21"/>
    <mergeCell ref="I21:R21"/>
    <mergeCell ref="S21:AB21"/>
    <mergeCell ref="AC21:AL21"/>
    <mergeCell ref="AM21:AV21"/>
    <mergeCell ref="AW21:BP21"/>
    <mergeCell ref="BQ21:BZ21"/>
    <mergeCell ref="CA21:CE21"/>
    <mergeCell ref="CF21:CH21"/>
    <mergeCell ref="CI21:CK21"/>
    <mergeCell ref="CL21:CN21"/>
    <mergeCell ref="CO21:CQ21"/>
    <mergeCell ref="CR21:CT21"/>
    <mergeCell ref="CU21:CY21"/>
    <mergeCell ref="C20:E20"/>
    <mergeCell ref="F20:H20"/>
    <mergeCell ref="CZ22:DH22"/>
    <mergeCell ref="CZ21:DH21"/>
    <mergeCell ref="C22:E22"/>
    <mergeCell ref="F22:H22"/>
    <mergeCell ref="I22:R22"/>
    <mergeCell ref="S22:AB22"/>
    <mergeCell ref="AC22:AL22"/>
    <mergeCell ref="AM22:AV22"/>
    <mergeCell ref="AW22:BP22"/>
    <mergeCell ref="BQ22:BZ22"/>
    <mergeCell ref="CA22:CE22"/>
    <mergeCell ref="CF22:CH22"/>
    <mergeCell ref="CI22:CK22"/>
    <mergeCell ref="CL22:CN22"/>
    <mergeCell ref="CO22:CQ22"/>
    <mergeCell ref="CR22:CT22"/>
    <mergeCell ref="CU22:CY22"/>
  </mergeCells>
  <conditionalFormatting sqref="CR8:CT8">
    <cfRule type="containsText" dxfId="80" priority="2359" operator="containsText" text="FAIL">
      <formula>NOT(ISERROR(SEARCH("FAIL",CR8)))</formula>
    </cfRule>
    <cfRule type="containsText" dxfId="79" priority="2360" operator="containsText" text="OK">
      <formula>NOT(ISERROR(SEARCH("OK",CR8)))</formula>
    </cfRule>
  </conditionalFormatting>
  <conditionalFormatting sqref="CA8">
    <cfRule type="beginsWith" dxfId="78" priority="741" operator="beginsWith" text="E">
      <formula>LEFT(CA8,LEN("E"))="E"</formula>
    </cfRule>
    <cfRule type="beginsWith" dxfId="77" priority="742" operator="beginsWith" text="A">
      <formula>LEFT(CA8,LEN("A"))="A"</formula>
    </cfRule>
  </conditionalFormatting>
  <conditionalFormatting sqref="CF8">
    <cfRule type="beginsWith" dxfId="76" priority="740" operator="beginsWith" text="X">
      <formula>LEFT(CF8,LEN("X"))="X"</formula>
    </cfRule>
  </conditionalFormatting>
  <conditionalFormatting sqref="CR9:CT9">
    <cfRule type="containsText" dxfId="75" priority="138" operator="containsText" text="FAIL">
      <formula>NOT(ISERROR(SEARCH("FAIL",CR9)))</formula>
    </cfRule>
    <cfRule type="containsText" dxfId="74" priority="139" operator="containsText" text="OK">
      <formula>NOT(ISERROR(SEARCH("OK",CR9)))</formula>
    </cfRule>
  </conditionalFormatting>
  <conditionalFormatting sqref="CA14">
    <cfRule type="beginsWith" dxfId="73" priority="84" operator="beginsWith" text="E">
      <formula>LEFT(CA14,LEN("E"))="E"</formula>
    </cfRule>
    <cfRule type="beginsWith" dxfId="72" priority="85" operator="beginsWith" text="A">
      <formula>LEFT(CA14,LEN("A"))="A"</formula>
    </cfRule>
  </conditionalFormatting>
  <conditionalFormatting sqref="CF9">
    <cfRule type="beginsWith" dxfId="71" priority="135" operator="beginsWith" text="X">
      <formula>LEFT(CF9,LEN("X"))="X"</formula>
    </cfRule>
  </conditionalFormatting>
  <conditionalFormatting sqref="CR10:CT10">
    <cfRule type="containsText" dxfId="70" priority="128" operator="containsText" text="FAIL">
      <formula>NOT(ISERROR(SEARCH("FAIL",CR10)))</formula>
    </cfRule>
    <cfRule type="containsText" dxfId="69" priority="129" operator="containsText" text="OK">
      <formula>NOT(ISERROR(SEARCH("OK",CR10)))</formula>
    </cfRule>
  </conditionalFormatting>
  <conditionalFormatting sqref="CF10">
    <cfRule type="beginsWith" dxfId="68" priority="125" operator="beginsWith" text="X">
      <formula>LEFT(CF10,LEN("X"))="X"</formula>
    </cfRule>
  </conditionalFormatting>
  <conditionalFormatting sqref="CR11:CT11">
    <cfRule type="containsText" dxfId="67" priority="118" operator="containsText" text="FAIL">
      <formula>NOT(ISERROR(SEARCH("FAIL",CR11)))</formula>
    </cfRule>
    <cfRule type="containsText" dxfId="66" priority="119" operator="containsText" text="OK">
      <formula>NOT(ISERROR(SEARCH("OK",CR11)))</formula>
    </cfRule>
  </conditionalFormatting>
  <conditionalFormatting sqref="CA11">
    <cfRule type="beginsWith" dxfId="65" priority="116" operator="beginsWith" text="E">
      <formula>LEFT(CA11,LEN("E"))="E"</formula>
    </cfRule>
    <cfRule type="beginsWith" dxfId="64" priority="117" operator="beginsWith" text="A">
      <formula>LEFT(CA11,LEN("A"))="A"</formula>
    </cfRule>
  </conditionalFormatting>
  <conditionalFormatting sqref="CF11">
    <cfRule type="beginsWith" dxfId="63" priority="115" operator="beginsWith" text="X">
      <formula>LEFT(CF11,LEN("X"))="X"</formula>
    </cfRule>
  </conditionalFormatting>
  <conditionalFormatting sqref="CR12:CT12">
    <cfRule type="containsText" dxfId="62" priority="108" operator="containsText" text="FAIL">
      <formula>NOT(ISERROR(SEARCH("FAIL",CR12)))</formula>
    </cfRule>
    <cfRule type="containsText" dxfId="61" priority="109" operator="containsText" text="OK">
      <formula>NOT(ISERROR(SEARCH("OK",CR12)))</formula>
    </cfRule>
  </conditionalFormatting>
  <conditionalFormatting sqref="CA12">
    <cfRule type="beginsWith" dxfId="60" priority="106" operator="beginsWith" text="E">
      <formula>LEFT(CA12,LEN("E"))="E"</formula>
    </cfRule>
    <cfRule type="beginsWith" dxfId="59" priority="107" operator="beginsWith" text="A">
      <formula>LEFT(CA12,LEN("A"))="A"</formula>
    </cfRule>
  </conditionalFormatting>
  <conditionalFormatting sqref="CF12">
    <cfRule type="beginsWith" dxfId="58" priority="105" operator="beginsWith" text="X">
      <formula>LEFT(CF12,LEN("X"))="X"</formula>
    </cfRule>
  </conditionalFormatting>
  <conditionalFormatting sqref="CR13:CT13">
    <cfRule type="containsText" dxfId="57" priority="98" operator="containsText" text="FAIL">
      <formula>NOT(ISERROR(SEARCH("FAIL",CR13)))</formula>
    </cfRule>
    <cfRule type="containsText" dxfId="56" priority="99" operator="containsText" text="OK">
      <formula>NOT(ISERROR(SEARCH("OK",CR13)))</formula>
    </cfRule>
  </conditionalFormatting>
  <conditionalFormatting sqref="CA13">
    <cfRule type="beginsWith" dxfId="55" priority="96" operator="beginsWith" text="E">
      <formula>LEFT(CA13,LEN("E"))="E"</formula>
    </cfRule>
    <cfRule type="beginsWith" dxfId="54" priority="97" operator="beginsWith" text="A">
      <formula>LEFT(CA13,LEN("A"))="A"</formula>
    </cfRule>
  </conditionalFormatting>
  <conditionalFormatting sqref="CF13">
    <cfRule type="beginsWith" dxfId="53" priority="95" operator="beginsWith" text="X">
      <formula>LEFT(CF13,LEN("X"))="X"</formula>
    </cfRule>
  </conditionalFormatting>
  <conditionalFormatting sqref="CA9">
    <cfRule type="beginsWith" dxfId="52" priority="93" operator="beginsWith" text="E">
      <formula>LEFT(CA9,LEN("E"))="E"</formula>
    </cfRule>
    <cfRule type="beginsWith" dxfId="51" priority="94" operator="beginsWith" text="A">
      <formula>LEFT(CA9,LEN("A"))="A"</formula>
    </cfRule>
  </conditionalFormatting>
  <conditionalFormatting sqref="CR14:CT14">
    <cfRule type="containsText" dxfId="50" priority="86" operator="containsText" text="FAIL">
      <formula>NOT(ISERROR(SEARCH("FAIL",CR14)))</formula>
    </cfRule>
    <cfRule type="containsText" dxfId="49" priority="87" operator="containsText" text="OK">
      <formula>NOT(ISERROR(SEARCH("OK",CR14)))</formula>
    </cfRule>
  </conditionalFormatting>
  <conditionalFormatting sqref="CF22">
    <cfRule type="beginsWith" dxfId="48" priority="3" operator="beginsWith" text="X">
      <formula>LEFT(CF22,LEN("X"))="X"</formula>
    </cfRule>
  </conditionalFormatting>
  <conditionalFormatting sqref="CA10">
    <cfRule type="beginsWith" dxfId="47" priority="1" operator="beginsWith" text="E">
      <formula>LEFT(CA10,LEN("E"))="E"</formula>
    </cfRule>
    <cfRule type="beginsWith" dxfId="46" priority="2" operator="beginsWith" text="A">
      <formula>LEFT(CA10,LEN("A"))="A"</formula>
    </cfRule>
  </conditionalFormatting>
  <conditionalFormatting sqref="CR15:CT15">
    <cfRule type="containsText" dxfId="45" priority="76" operator="containsText" text="FAIL">
      <formula>NOT(ISERROR(SEARCH("FAIL",CR15)))</formula>
    </cfRule>
    <cfRule type="containsText" dxfId="44" priority="77" operator="containsText" text="OK">
      <formula>NOT(ISERROR(SEARCH("OK",CR15)))</formula>
    </cfRule>
  </conditionalFormatting>
  <conditionalFormatting sqref="CA15">
    <cfRule type="beginsWith" dxfId="43" priority="74" operator="beginsWith" text="E">
      <formula>LEFT(CA15,LEN("E"))="E"</formula>
    </cfRule>
    <cfRule type="beginsWith" dxfId="42" priority="75" operator="beginsWith" text="A">
      <formula>LEFT(CA15,LEN("A"))="A"</formula>
    </cfRule>
  </conditionalFormatting>
  <conditionalFormatting sqref="CF14">
    <cfRule type="beginsWith" dxfId="41" priority="83" operator="beginsWith" text="X">
      <formula>LEFT(CF14,LEN("X"))="X"</formula>
    </cfRule>
  </conditionalFormatting>
  <conditionalFormatting sqref="CR16:CT16">
    <cfRule type="containsText" dxfId="40" priority="66" operator="containsText" text="FAIL">
      <formula>NOT(ISERROR(SEARCH("FAIL",CR16)))</formula>
    </cfRule>
    <cfRule type="containsText" dxfId="39" priority="67" operator="containsText" text="OK">
      <formula>NOT(ISERROR(SEARCH("OK",CR16)))</formula>
    </cfRule>
  </conditionalFormatting>
  <conditionalFormatting sqref="CR17:CT17">
    <cfRule type="containsText" dxfId="38" priority="56" operator="containsText" text="FAIL">
      <formula>NOT(ISERROR(SEARCH("FAIL",CR17)))</formula>
    </cfRule>
    <cfRule type="containsText" dxfId="37" priority="57" operator="containsText" text="OK">
      <formula>NOT(ISERROR(SEARCH("OK",CR17)))</formula>
    </cfRule>
  </conditionalFormatting>
  <conditionalFormatting sqref="CA16">
    <cfRule type="beginsWith" dxfId="36" priority="64" operator="beginsWith" text="E">
      <formula>LEFT(CA16,LEN("E"))="E"</formula>
    </cfRule>
    <cfRule type="beginsWith" dxfId="35" priority="65" operator="beginsWith" text="A">
      <formula>LEFT(CA16,LEN("A"))="A"</formula>
    </cfRule>
  </conditionalFormatting>
  <conditionalFormatting sqref="CF15">
    <cfRule type="beginsWith" dxfId="34" priority="73" operator="beginsWith" text="X">
      <formula>LEFT(CF15,LEN("X"))="X"</formula>
    </cfRule>
  </conditionalFormatting>
  <conditionalFormatting sqref="CR18:CT18">
    <cfRule type="containsText" dxfId="33" priority="46" operator="containsText" text="FAIL">
      <formula>NOT(ISERROR(SEARCH("FAIL",CR18)))</formula>
    </cfRule>
    <cfRule type="containsText" dxfId="32" priority="47" operator="containsText" text="OK">
      <formula>NOT(ISERROR(SEARCH("OK",CR18)))</formula>
    </cfRule>
  </conditionalFormatting>
  <conditionalFormatting sqref="CR19:CT19">
    <cfRule type="containsText" dxfId="31" priority="36" operator="containsText" text="FAIL">
      <formula>NOT(ISERROR(SEARCH("FAIL",CR19)))</formula>
    </cfRule>
    <cfRule type="containsText" dxfId="30" priority="37" operator="containsText" text="OK">
      <formula>NOT(ISERROR(SEARCH("OK",CR19)))</formula>
    </cfRule>
  </conditionalFormatting>
  <conditionalFormatting sqref="CA17">
    <cfRule type="beginsWith" dxfId="29" priority="54" operator="beginsWith" text="E">
      <formula>LEFT(CA17,LEN("E"))="E"</formula>
    </cfRule>
    <cfRule type="beginsWith" dxfId="28" priority="55" operator="beginsWith" text="A">
      <formula>LEFT(CA17,LEN("A"))="A"</formula>
    </cfRule>
  </conditionalFormatting>
  <conditionalFormatting sqref="CF16">
    <cfRule type="beginsWith" dxfId="27" priority="63" operator="beginsWith" text="X">
      <formula>LEFT(CF16,LEN("X"))="X"</formula>
    </cfRule>
  </conditionalFormatting>
  <conditionalFormatting sqref="CR20:CT20">
    <cfRule type="containsText" dxfId="26" priority="26" operator="containsText" text="FAIL">
      <formula>NOT(ISERROR(SEARCH("FAIL",CR20)))</formula>
    </cfRule>
    <cfRule type="containsText" dxfId="25" priority="27" operator="containsText" text="OK">
      <formula>NOT(ISERROR(SEARCH("OK",CR20)))</formula>
    </cfRule>
  </conditionalFormatting>
  <conditionalFormatting sqref="CR21:CT21">
    <cfRule type="containsText" dxfId="24" priority="16" operator="containsText" text="FAIL">
      <formula>NOT(ISERROR(SEARCH("FAIL",CR21)))</formula>
    </cfRule>
    <cfRule type="containsText" dxfId="23" priority="17" operator="containsText" text="OK">
      <formula>NOT(ISERROR(SEARCH("OK",CR21)))</formula>
    </cfRule>
  </conditionalFormatting>
  <conditionalFormatting sqref="CF17">
    <cfRule type="beginsWith" dxfId="22" priority="53" operator="beginsWith" text="X">
      <formula>LEFT(CF17,LEN("X"))="X"</formula>
    </cfRule>
  </conditionalFormatting>
  <conditionalFormatting sqref="CA18">
    <cfRule type="beginsWith" dxfId="21" priority="44" operator="beginsWith" text="E">
      <formula>LEFT(CA18,LEN("E"))="E"</formula>
    </cfRule>
    <cfRule type="beginsWith" dxfId="20" priority="45" operator="beginsWith" text="A">
      <formula>LEFT(CA18,LEN("A"))="A"</formula>
    </cfRule>
  </conditionalFormatting>
  <conditionalFormatting sqref="CF18">
    <cfRule type="beginsWith" dxfId="19" priority="43" operator="beginsWith" text="X">
      <formula>LEFT(CF18,LEN("X"))="X"</formula>
    </cfRule>
  </conditionalFormatting>
  <conditionalFormatting sqref="CA19">
    <cfRule type="beginsWith" dxfId="18" priority="34" operator="beginsWith" text="E">
      <formula>LEFT(CA19,LEN("E"))="E"</formula>
    </cfRule>
    <cfRule type="beginsWith" dxfId="17" priority="35" operator="beginsWith" text="A">
      <formula>LEFT(CA19,LEN("A"))="A"</formula>
    </cfRule>
  </conditionalFormatting>
  <conditionalFormatting sqref="CF19">
    <cfRule type="beginsWith" dxfId="16" priority="33" operator="beginsWith" text="X">
      <formula>LEFT(CF19,LEN("X"))="X"</formula>
    </cfRule>
  </conditionalFormatting>
  <conditionalFormatting sqref="CA20">
    <cfRule type="beginsWith" dxfId="15" priority="24" operator="beginsWith" text="E">
      <formula>LEFT(CA20,LEN("E"))="E"</formula>
    </cfRule>
    <cfRule type="beginsWith" dxfId="14" priority="25" operator="beginsWith" text="A">
      <formula>LEFT(CA20,LEN("A"))="A"</formula>
    </cfRule>
  </conditionalFormatting>
  <conditionalFormatting sqref="CF20">
    <cfRule type="beginsWith" dxfId="13" priority="23" operator="beginsWith" text="X">
      <formula>LEFT(CF20,LEN("X"))="X"</formula>
    </cfRule>
  </conditionalFormatting>
  <conditionalFormatting sqref="CA21">
    <cfRule type="beginsWith" dxfId="12" priority="14" operator="beginsWith" text="E">
      <formula>LEFT(CA21,LEN("E"))="E"</formula>
    </cfRule>
    <cfRule type="beginsWith" dxfId="11" priority="15" operator="beginsWith" text="A">
      <formula>LEFT(CA21,LEN("A"))="A"</formula>
    </cfRule>
  </conditionalFormatting>
  <conditionalFormatting sqref="CF21">
    <cfRule type="beginsWith" dxfId="10" priority="13" operator="beginsWith" text="X">
      <formula>LEFT(CF21,LEN("X"))="X"</formula>
    </cfRule>
  </conditionalFormatting>
  <conditionalFormatting sqref="CR22:CT22">
    <cfRule type="containsText" dxfId="9" priority="6" operator="containsText" text="FAIL">
      <formula>NOT(ISERROR(SEARCH("FAIL",CR22)))</formula>
    </cfRule>
    <cfRule type="containsText" dxfId="8" priority="7" operator="containsText" text="OK">
      <formula>NOT(ISERROR(SEARCH("OK",CR22)))</formula>
    </cfRule>
  </conditionalFormatting>
  <conditionalFormatting sqref="CA22">
    <cfRule type="beginsWith" dxfId="7" priority="4" operator="beginsWith" text="E">
      <formula>LEFT(CA22,LEN("E"))="E"</formula>
    </cfRule>
    <cfRule type="beginsWith" dxfId="6" priority="5" operator="beginsWith" text="A">
      <formula>LEFT(CA22,LEN("A"))="A"</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sertarCasodePrueba" altText="Ejecutar">
                <anchor>
                  <from>
                    <xdr:col>7</xdr:col>
                    <xdr:colOff>171450</xdr:colOff>
                    <xdr:row>2</xdr:row>
                    <xdr:rowOff>0</xdr:rowOff>
                  </from>
                  <to>
                    <xdr:col>26</xdr:col>
                    <xdr:colOff>142875</xdr:colOff>
                    <xdr:row>4</xdr:row>
                    <xdr:rowOff>47625</xdr:rowOff>
                  </to>
                </anchor>
              </controlPr>
            </control>
          </mc:Choice>
        </mc:AlternateContent>
        <mc:AlternateContent xmlns:mc="http://schemas.openxmlformats.org/markup-compatibility/2006">
          <mc:Choice Requires="x14">
            <control shapeId="3074" r:id="rId5" name="Button 2">
              <controlPr defaultSize="0" print="0" autoFill="0" autoPict="0" macro="[0]!eliminarResgistro">
                <anchor>
                  <from>
                    <xdr:col>26</xdr:col>
                    <xdr:colOff>142875</xdr:colOff>
                    <xdr:row>2</xdr:row>
                    <xdr:rowOff>0</xdr:rowOff>
                  </from>
                  <to>
                    <xdr:col>34</xdr:col>
                    <xdr:colOff>180975</xdr:colOff>
                    <xdr:row>4</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Listas!$B$32</xm:f>
          </x14:formula1>
          <xm:sqref>CF8:CH22</xm:sqref>
        </x14:dataValidation>
        <x14:dataValidation type="list" allowBlank="1" showInputMessage="1" showErrorMessage="1">
          <x14:formula1>
            <xm:f>Listas!$F$32:$F$33</xm:f>
          </x14:formula1>
          <xm:sqref>CA8:CE22</xm:sqref>
        </x14:dataValidation>
        <x14:dataValidation type="list" allowBlank="1" showInputMessage="1" showErrorMessage="1">
          <x14:formula1>
            <xm:f>Listas!$B$32:$B$33</xm:f>
          </x14:formula1>
          <xm:sqref>CI8:CQ22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9" tint="0.39997558519241921"/>
  </sheetPr>
  <dimension ref="A1:CO32"/>
  <sheetViews>
    <sheetView showGridLines="0" zoomScale="112" zoomScaleNormal="112" workbookViewId="0">
      <selection activeCell="I6" sqref="I6:K6"/>
    </sheetView>
  </sheetViews>
  <sheetFormatPr baseColWidth="10" defaultColWidth="2.7109375" defaultRowHeight="15" x14ac:dyDescent="0.25"/>
  <cols>
    <col min="1" max="59" width="2.7109375" style="1"/>
    <col min="60" max="60" width="5.7109375" style="1" hidden="1" customWidth="1"/>
    <col min="61" max="61" width="3.28515625" style="1" hidden="1" customWidth="1"/>
    <col min="62" max="62" width="3.140625" style="1" hidden="1" customWidth="1"/>
    <col min="63" max="63" width="7.42578125" style="1" hidden="1" customWidth="1"/>
    <col min="64" max="64" width="2.85546875" style="1" hidden="1" customWidth="1"/>
    <col min="65" max="65" width="2.7109375" customWidth="1"/>
    <col min="66" max="66" width="2.85546875" style="65" customWidth="1"/>
    <col min="67" max="16384" width="2.7109375" style="1"/>
  </cols>
  <sheetData>
    <row r="1" spans="1:93" ht="30.75" customHeight="1" x14ac:dyDescent="0.25"/>
    <row r="2" spans="1:93" x14ac:dyDescent="0.25">
      <c r="C2" s="218" t="s">
        <v>190</v>
      </c>
      <c r="D2" s="218"/>
      <c r="E2" s="218"/>
      <c r="F2" s="218"/>
      <c r="G2" s="218"/>
      <c r="H2" s="218"/>
      <c r="I2" s="218"/>
      <c r="J2" s="218"/>
      <c r="K2" s="218"/>
      <c r="L2" s="218"/>
      <c r="M2" s="218"/>
      <c r="N2" s="218"/>
      <c r="O2" s="218"/>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row r="3" spans="1:93" x14ac:dyDescent="0.25">
      <c r="BG3" s="7"/>
      <c r="BH3" s="65"/>
      <c r="BI3" s="65"/>
      <c r="BJ3" s="65"/>
      <c r="BK3" s="65"/>
      <c r="BL3" s="65"/>
      <c r="BM3" s="76"/>
      <c r="BO3" s="65"/>
      <c r="BP3" s="65"/>
      <c r="BQ3" s="65"/>
      <c r="BR3" s="65"/>
      <c r="BS3" s="65"/>
      <c r="BT3" s="65"/>
    </row>
    <row r="4" spans="1:93" x14ac:dyDescent="0.25">
      <c r="C4" s="203" t="s">
        <v>31</v>
      </c>
      <c r="D4" s="203"/>
      <c r="E4" s="203"/>
      <c r="F4" s="204" t="s">
        <v>23</v>
      </c>
      <c r="G4" s="204"/>
      <c r="H4" s="204"/>
      <c r="I4" s="204"/>
      <c r="J4" s="204"/>
      <c r="K4" s="204"/>
      <c r="L4" s="204"/>
      <c r="M4" s="204"/>
      <c r="N4" s="204"/>
      <c r="O4" s="204" t="s">
        <v>24</v>
      </c>
      <c r="P4" s="204"/>
      <c r="Q4" s="204"/>
      <c r="R4" s="204"/>
      <c r="S4" s="204"/>
      <c r="T4" s="204"/>
      <c r="U4" s="204"/>
      <c r="V4" s="204"/>
      <c r="W4" s="204"/>
      <c r="X4" s="203" t="s">
        <v>83</v>
      </c>
      <c r="Y4" s="203"/>
      <c r="Z4" s="203"/>
      <c r="AA4" s="203"/>
      <c r="AB4" s="203"/>
      <c r="AC4" s="203"/>
      <c r="AD4" s="203"/>
      <c r="AE4" s="203"/>
      <c r="AF4" s="203"/>
      <c r="AG4" s="203"/>
      <c r="AH4" s="203"/>
      <c r="AI4" s="203"/>
      <c r="AJ4" s="347" t="s">
        <v>188</v>
      </c>
      <c r="AK4" s="347"/>
      <c r="AL4" s="347"/>
      <c r="AM4" s="347"/>
      <c r="AN4" s="347"/>
      <c r="AO4" s="347"/>
      <c r="AP4" s="347" t="s">
        <v>200</v>
      </c>
      <c r="AQ4" s="347"/>
      <c r="AR4" s="347"/>
      <c r="AS4" s="347"/>
      <c r="AT4" s="347"/>
      <c r="AU4" s="347"/>
      <c r="AV4" s="203" t="s">
        <v>25</v>
      </c>
      <c r="AW4" s="203"/>
      <c r="AX4" s="203"/>
      <c r="AY4" s="203"/>
      <c r="AZ4" s="203"/>
      <c r="BA4" s="203" t="s">
        <v>202</v>
      </c>
      <c r="BB4" s="203"/>
      <c r="BC4" s="203"/>
      <c r="BD4" s="203"/>
      <c r="BE4" s="203"/>
      <c r="BF4" s="34"/>
      <c r="BG4" s="35"/>
      <c r="BH4" s="77"/>
      <c r="BI4" s="77"/>
      <c r="BJ4" s="77"/>
      <c r="BK4" s="77"/>
      <c r="BL4" s="77" t="s">
        <v>201</v>
      </c>
      <c r="BM4" s="76"/>
      <c r="BN4" s="77"/>
      <c r="BO4" s="77"/>
      <c r="BP4" s="77"/>
      <c r="BQ4" s="77"/>
      <c r="BR4" s="77"/>
      <c r="BS4" s="77"/>
      <c r="BT4" s="78"/>
      <c r="BU4" s="22"/>
      <c r="BV4" s="22"/>
      <c r="BW4" s="22"/>
      <c r="BX4" s="22"/>
      <c r="BY4" s="22"/>
      <c r="BZ4" s="22"/>
      <c r="CA4" s="22"/>
      <c r="CB4" s="22"/>
      <c r="CC4" s="22"/>
      <c r="CD4" s="22"/>
      <c r="CE4" s="22"/>
      <c r="CF4" s="22"/>
      <c r="CG4" s="22"/>
      <c r="CH4" s="22"/>
      <c r="CI4" s="22"/>
      <c r="CJ4" s="22"/>
      <c r="CK4" s="22"/>
      <c r="CL4" s="22"/>
      <c r="CM4" s="22"/>
      <c r="CN4" s="22"/>
      <c r="CO4" s="22"/>
    </row>
    <row r="5" spans="1:93" x14ac:dyDescent="0.25">
      <c r="A5" s="7" t="s">
        <v>162</v>
      </c>
      <c r="C5" s="203"/>
      <c r="D5" s="203"/>
      <c r="E5" s="203"/>
      <c r="F5" s="349" t="s">
        <v>81</v>
      </c>
      <c r="G5" s="349"/>
      <c r="H5" s="349"/>
      <c r="I5" s="349" t="s">
        <v>82</v>
      </c>
      <c r="J5" s="349"/>
      <c r="K5" s="349"/>
      <c r="L5" s="349" t="s">
        <v>86</v>
      </c>
      <c r="M5" s="349"/>
      <c r="N5" s="349"/>
      <c r="O5" s="349" t="s">
        <v>81</v>
      </c>
      <c r="P5" s="349"/>
      <c r="Q5" s="349"/>
      <c r="R5" s="349" t="s">
        <v>82</v>
      </c>
      <c r="S5" s="349"/>
      <c r="T5" s="349"/>
      <c r="U5" s="349" t="s">
        <v>85</v>
      </c>
      <c r="V5" s="349"/>
      <c r="W5" s="349"/>
      <c r="X5" s="349" t="s">
        <v>23</v>
      </c>
      <c r="Y5" s="349"/>
      <c r="Z5" s="349"/>
      <c r="AA5" s="349"/>
      <c r="AB5" s="349"/>
      <c r="AC5" s="349"/>
      <c r="AD5" s="349" t="s">
        <v>24</v>
      </c>
      <c r="AE5" s="349"/>
      <c r="AF5" s="349"/>
      <c r="AG5" s="349"/>
      <c r="AH5" s="349"/>
      <c r="AI5" s="349"/>
      <c r="AJ5" s="347"/>
      <c r="AK5" s="347"/>
      <c r="AL5" s="347"/>
      <c r="AM5" s="347"/>
      <c r="AN5" s="347"/>
      <c r="AO5" s="347"/>
      <c r="AP5" s="347"/>
      <c r="AQ5" s="347"/>
      <c r="AR5" s="347"/>
      <c r="AS5" s="347"/>
      <c r="AT5" s="347"/>
      <c r="AU5" s="347"/>
      <c r="AV5" s="203"/>
      <c r="AW5" s="203"/>
      <c r="AX5" s="203"/>
      <c r="AY5" s="203"/>
      <c r="AZ5" s="203"/>
      <c r="BA5" s="203"/>
      <c r="BB5" s="203"/>
      <c r="BC5" s="203"/>
      <c r="BD5" s="203"/>
      <c r="BE5" s="203"/>
      <c r="BF5" s="34"/>
      <c r="BG5" s="14"/>
      <c r="BH5" s="77" t="s">
        <v>189</v>
      </c>
      <c r="BI5" s="77" t="s">
        <v>197</v>
      </c>
      <c r="BJ5" s="77" t="s">
        <v>199</v>
      </c>
      <c r="BK5" s="77" t="s">
        <v>191</v>
      </c>
      <c r="BL5" s="77" t="s">
        <v>5</v>
      </c>
      <c r="BM5" s="76"/>
      <c r="BN5" s="77"/>
      <c r="BO5" s="77"/>
      <c r="BP5" s="77"/>
      <c r="BQ5" s="77"/>
      <c r="BR5" s="77"/>
      <c r="BS5" s="77"/>
      <c r="BT5" s="78"/>
      <c r="BU5" s="22"/>
      <c r="BV5" s="22"/>
      <c r="BW5" s="22"/>
      <c r="BX5" s="22"/>
      <c r="BY5" s="22"/>
      <c r="BZ5" s="22"/>
      <c r="CA5" s="22"/>
      <c r="CB5" s="22"/>
      <c r="CC5" s="22"/>
      <c r="CD5" s="22"/>
      <c r="CE5" s="22"/>
      <c r="CF5" s="22"/>
      <c r="CG5" s="22"/>
      <c r="CH5" s="22"/>
      <c r="CI5" s="22"/>
      <c r="CJ5" s="22"/>
      <c r="CK5" s="22"/>
      <c r="CL5" s="22"/>
      <c r="CM5" s="22"/>
      <c r="CN5" s="22"/>
      <c r="CO5" s="22"/>
    </row>
    <row r="6" spans="1:93" ht="15.95" customHeight="1" x14ac:dyDescent="0.25">
      <c r="A6" s="7"/>
      <c r="C6" s="342" t="str">
        <f>IF('Info General'!C24:E24&lt;&gt;"",'Info General'!C24:E24,0)</f>
        <v>HU-001</v>
      </c>
      <c r="D6" s="342"/>
      <c r="E6" s="342"/>
      <c r="F6" s="343">
        <f t="shared" ref="F6" si="0">BH6</f>
        <v>3</v>
      </c>
      <c r="G6" s="343"/>
      <c r="H6" s="343"/>
      <c r="I6" s="344" t="s">
        <v>282</v>
      </c>
      <c r="J6" s="344"/>
      <c r="K6" s="344"/>
      <c r="L6" s="343">
        <f t="shared" ref="L6" si="1">SUM(F6:K6)+X6</f>
        <v>3</v>
      </c>
      <c r="M6" s="343"/>
      <c r="N6" s="343"/>
      <c r="O6" s="343">
        <f t="shared" ref="O6" si="2">BI6+BJ6</f>
        <v>3</v>
      </c>
      <c r="P6" s="343"/>
      <c r="Q6" s="343"/>
      <c r="R6" s="299"/>
      <c r="S6" s="299"/>
      <c r="T6" s="299"/>
      <c r="U6" s="340">
        <f t="shared" ref="U6" si="3">SUM(O6:T6)+AD6</f>
        <v>3</v>
      </c>
      <c r="V6" s="340"/>
      <c r="W6" s="340"/>
      <c r="X6" s="299"/>
      <c r="Y6" s="299"/>
      <c r="Z6" s="299"/>
      <c r="AA6" s="299"/>
      <c r="AB6" s="299"/>
      <c r="AC6" s="299"/>
      <c r="AD6" s="299"/>
      <c r="AE6" s="299"/>
      <c r="AF6" s="299"/>
      <c r="AG6" s="299"/>
      <c r="AH6" s="299"/>
      <c r="AI6" s="299"/>
      <c r="AJ6" s="340">
        <f t="shared" ref="AJ6" si="4">L6-U6</f>
        <v>0</v>
      </c>
      <c r="AK6" s="340"/>
      <c r="AL6" s="340"/>
      <c r="AM6" s="340"/>
      <c r="AN6" s="340"/>
      <c r="AO6" s="340"/>
      <c r="AP6" s="340">
        <f>IF(C6&lt;&gt;0,IF(BJ6=0,VLOOKUP('Info General'!C24,Incidentes!$C$6:$Y$10,4,0),BJ6),"0")</f>
        <v>0</v>
      </c>
      <c r="AQ6" s="340"/>
      <c r="AR6" s="340"/>
      <c r="AS6" s="340"/>
      <c r="AT6" s="340"/>
      <c r="AU6" s="340"/>
      <c r="AV6" s="341">
        <f t="shared" ref="AV6" si="5">IF(L6&lt;&gt;0,(U6+AD6)/(L6+X6),0)</f>
        <v>1</v>
      </c>
      <c r="AW6" s="341"/>
      <c r="AX6" s="341"/>
      <c r="AY6" s="341"/>
      <c r="AZ6" s="341"/>
      <c r="BA6" s="340">
        <f t="shared" ref="BA6" si="6">BL6</f>
        <v>0</v>
      </c>
      <c r="BB6" s="340"/>
      <c r="BC6" s="340"/>
      <c r="BD6" s="340"/>
      <c r="BE6" s="340"/>
      <c r="BG6" s="11"/>
      <c r="BH6" s="65">
        <f>COUNTIF('Casos de prueba'!$C$8:$C$7009,'Resumen C.P.'!C6)</f>
        <v>3</v>
      </c>
      <c r="BI6" s="65">
        <f>COUNTIFS('Casos de prueba'!$C$8:$C$7007,'Resumen C.P.'!C6,'Casos de prueba'!$CR$8:$CR$7007,$BI$5)</f>
        <v>3</v>
      </c>
      <c r="BJ6" s="65">
        <f>COUNTIFS('Casos de prueba'!$C$8:$C$7007,C6,'Casos de prueba'!$CR$8:$CR$7007,$BJ$5)</f>
        <v>0</v>
      </c>
      <c r="BK6" s="66">
        <f>IF(U6&lt;&gt;0,Incidentes!F6/U6,"")</f>
        <v>0</v>
      </c>
      <c r="BL6" s="65">
        <f>COUNTIFS('Casos de prueba'!$C$8:$C$7007,'Resumen C.P.'!C6,'Casos de prueba'!$CF$8:$CF$7007,$BL$5)</f>
        <v>0</v>
      </c>
      <c r="BM6" s="76"/>
      <c r="BO6" s="65"/>
      <c r="BP6" s="65"/>
      <c r="BQ6" s="65"/>
      <c r="BR6" s="65"/>
      <c r="BS6" s="65"/>
      <c r="BT6" s="65"/>
      <c r="BX6" s="4"/>
      <c r="BY6" s="4"/>
    </row>
    <row r="7" spans="1:93" ht="15.95" customHeight="1" x14ac:dyDescent="0.25">
      <c r="A7" s="7"/>
      <c r="C7" s="342" t="str">
        <f>IF('Info General'!C25:E25&lt;&gt;"",'Info General'!C25:E25,0)</f>
        <v>HU-002</v>
      </c>
      <c r="D7" s="342"/>
      <c r="E7" s="342"/>
      <c r="F7" s="343">
        <f t="shared" ref="F7" si="7">BH7</f>
        <v>6</v>
      </c>
      <c r="G7" s="343"/>
      <c r="H7" s="343"/>
      <c r="I7" s="344"/>
      <c r="J7" s="344"/>
      <c r="K7" s="344"/>
      <c r="L7" s="343">
        <f t="shared" ref="L7" si="8">SUM(F7:K7)+X7</f>
        <v>6</v>
      </c>
      <c r="M7" s="343"/>
      <c r="N7" s="343"/>
      <c r="O7" s="343">
        <f t="shared" ref="O7" si="9">BI7+BJ7</f>
        <v>6</v>
      </c>
      <c r="P7" s="343"/>
      <c r="Q7" s="343"/>
      <c r="R7" s="299"/>
      <c r="S7" s="299"/>
      <c r="T7" s="299"/>
      <c r="U7" s="340">
        <f t="shared" ref="U7" si="10">SUM(O7:T7)+AD7</f>
        <v>6</v>
      </c>
      <c r="V7" s="340"/>
      <c r="W7" s="340"/>
      <c r="X7" s="299"/>
      <c r="Y7" s="299"/>
      <c r="Z7" s="299"/>
      <c r="AA7" s="299"/>
      <c r="AB7" s="299"/>
      <c r="AC7" s="299"/>
      <c r="AD7" s="299"/>
      <c r="AE7" s="299"/>
      <c r="AF7" s="299"/>
      <c r="AG7" s="299"/>
      <c r="AH7" s="299"/>
      <c r="AI7" s="299"/>
      <c r="AJ7" s="340">
        <f t="shared" ref="AJ7" si="11">L7-U7</f>
        <v>0</v>
      </c>
      <c r="AK7" s="340"/>
      <c r="AL7" s="340"/>
      <c r="AM7" s="340"/>
      <c r="AN7" s="340"/>
      <c r="AO7" s="340"/>
      <c r="AP7" s="340">
        <f>IF(C7&lt;&gt;0,IF(BJ7=0,VLOOKUP('Info General'!C25,Incidentes!$C$6:$Y$10,4,0),BJ7),"0")</f>
        <v>0</v>
      </c>
      <c r="AQ7" s="340"/>
      <c r="AR7" s="340"/>
      <c r="AS7" s="340"/>
      <c r="AT7" s="340"/>
      <c r="AU7" s="340"/>
      <c r="AV7" s="341">
        <f t="shared" ref="AV7" si="12">IF(L7&lt;&gt;0,(U7+AD7)/(L7+X7),0)</f>
        <v>1</v>
      </c>
      <c r="AW7" s="341"/>
      <c r="AX7" s="341"/>
      <c r="AY7" s="341"/>
      <c r="AZ7" s="341"/>
      <c r="BA7" s="340">
        <f t="shared" ref="BA7" si="13">BL7</f>
        <v>0</v>
      </c>
      <c r="BB7" s="340"/>
      <c r="BC7" s="340"/>
      <c r="BD7" s="340"/>
      <c r="BE7" s="340"/>
      <c r="BG7" s="11"/>
      <c r="BH7" s="65">
        <f>COUNTIF('Casos de prueba'!$C$8:$C$7009,'Resumen C.P.'!C7)</f>
        <v>6</v>
      </c>
      <c r="BI7" s="65">
        <f>COUNTIFS('Casos de prueba'!$C$8:$C$7007,'Resumen C.P.'!C7,'Casos de prueba'!$CR$8:$CR$7007,$BI$5)</f>
        <v>6</v>
      </c>
      <c r="BJ7" s="65">
        <f>COUNTIFS('Casos de prueba'!$C$8:$C$7007,C7,'Casos de prueba'!$CR$8:$CR$7007,$BJ$5)</f>
        <v>0</v>
      </c>
      <c r="BK7" s="66">
        <f>IF(U7&lt;&gt;0,Incidentes!F10/U7,"")</f>
        <v>0</v>
      </c>
      <c r="BL7" s="65">
        <f>COUNTIFS('Casos de prueba'!$C$8:$C$7007,'Resumen C.P.'!C7,'Casos de prueba'!$CF$8:$CF$7007,$BL$5)</f>
        <v>0</v>
      </c>
      <c r="BM7" s="76"/>
      <c r="BO7" s="65"/>
      <c r="BP7" s="65"/>
      <c r="BQ7" s="65"/>
      <c r="BR7" s="65"/>
      <c r="BS7" s="65"/>
      <c r="BT7" s="65"/>
      <c r="BX7" s="4"/>
      <c r="BY7" s="4"/>
    </row>
    <row r="8" spans="1:93" ht="15.95" customHeight="1" x14ac:dyDescent="0.25">
      <c r="A8" s="7"/>
      <c r="C8" s="342" t="str">
        <f>IF('Info General'!C26:E26&lt;&gt;"",'Info General'!C26:E26,0)</f>
        <v>HU-003</v>
      </c>
      <c r="D8" s="342"/>
      <c r="E8" s="342"/>
      <c r="F8" s="343">
        <f t="shared" ref="F8" si="14">BH8</f>
        <v>0</v>
      </c>
      <c r="G8" s="343"/>
      <c r="H8" s="343"/>
      <c r="I8" s="344"/>
      <c r="J8" s="344"/>
      <c r="K8" s="344"/>
      <c r="L8" s="343">
        <f t="shared" ref="L8" si="15">SUM(F8:K8)+X8</f>
        <v>0</v>
      </c>
      <c r="M8" s="343"/>
      <c r="N8" s="343"/>
      <c r="O8" s="343">
        <f t="shared" ref="O8" si="16">BI8+BJ8</f>
        <v>0</v>
      </c>
      <c r="P8" s="343"/>
      <c r="Q8" s="343"/>
      <c r="R8" s="299"/>
      <c r="S8" s="299"/>
      <c r="T8" s="299"/>
      <c r="U8" s="340">
        <f t="shared" ref="U8" si="17">SUM(O8:T8)+AD8</f>
        <v>0</v>
      </c>
      <c r="V8" s="340"/>
      <c r="W8" s="340"/>
      <c r="X8" s="299"/>
      <c r="Y8" s="299"/>
      <c r="Z8" s="299"/>
      <c r="AA8" s="299"/>
      <c r="AB8" s="299"/>
      <c r="AC8" s="299"/>
      <c r="AD8" s="299"/>
      <c r="AE8" s="299"/>
      <c r="AF8" s="299"/>
      <c r="AG8" s="299"/>
      <c r="AH8" s="299"/>
      <c r="AI8" s="299"/>
      <c r="AJ8" s="340">
        <f t="shared" ref="AJ8" si="18">L8-U8</f>
        <v>0</v>
      </c>
      <c r="AK8" s="340"/>
      <c r="AL8" s="340"/>
      <c r="AM8" s="340"/>
      <c r="AN8" s="340"/>
      <c r="AO8" s="340"/>
      <c r="AP8" s="340">
        <f>IF(C8&lt;&gt;0,IF(BJ8=0,VLOOKUP('Info General'!C26,Incidentes!$C$6:$Y$10,4,0),BJ8),"0")</f>
        <v>0</v>
      </c>
      <c r="AQ8" s="340"/>
      <c r="AR8" s="340"/>
      <c r="AS8" s="340"/>
      <c r="AT8" s="340"/>
      <c r="AU8" s="340"/>
      <c r="AV8" s="341">
        <f t="shared" ref="AV8" si="19">IF(L8&lt;&gt;0,(U8+AD8)/(L8+X8),0)</f>
        <v>0</v>
      </c>
      <c r="AW8" s="341"/>
      <c r="AX8" s="341"/>
      <c r="AY8" s="341"/>
      <c r="AZ8" s="341"/>
      <c r="BA8" s="340">
        <f t="shared" ref="BA8" si="20">BL8</f>
        <v>0</v>
      </c>
      <c r="BB8" s="340"/>
      <c r="BC8" s="340"/>
      <c r="BD8" s="340"/>
      <c r="BE8" s="340"/>
      <c r="BG8" s="11"/>
      <c r="BH8" s="65">
        <f>COUNTIF('Casos de prueba'!$C$8:$C$7009,'Resumen C.P.'!C8)</f>
        <v>0</v>
      </c>
      <c r="BI8" s="65">
        <f>COUNTIFS('Casos de prueba'!$C$8:$C$7007,'Resumen C.P.'!C8,'Casos de prueba'!$CR$8:$CR$7007,$BI$5)</f>
        <v>0</v>
      </c>
      <c r="BJ8" s="65">
        <f>COUNTIFS('Casos de prueba'!$C$8:$C$7007,C8,'Casos de prueba'!$CR$8:$CR$7007,$BJ$5)</f>
        <v>0</v>
      </c>
      <c r="BK8" s="66" t="str">
        <f>IF(U8&lt;&gt;0,Incidentes!F11/U8,"")</f>
        <v/>
      </c>
      <c r="BL8" s="65">
        <f>COUNTIFS('Casos de prueba'!$C$8:$C$7007,'Resumen C.P.'!C8,'Casos de prueba'!$CF$8:$CF$7007,$BL$5)</f>
        <v>0</v>
      </c>
      <c r="BM8" s="76"/>
      <c r="BO8" s="65"/>
      <c r="BP8" s="65"/>
      <c r="BQ8" s="65"/>
      <c r="BR8" s="65"/>
      <c r="BS8" s="65"/>
      <c r="BT8" s="65"/>
      <c r="BX8" s="4"/>
      <c r="BY8" s="4"/>
    </row>
    <row r="9" spans="1:93" ht="15.95" customHeight="1" x14ac:dyDescent="0.25">
      <c r="A9" s="7"/>
      <c r="C9" s="342" t="str">
        <f>IF('Info General'!C27:E27&lt;&gt;"",'Info General'!C27:E27,0)</f>
        <v>HU-004</v>
      </c>
      <c r="D9" s="342"/>
      <c r="E9" s="342"/>
      <c r="F9" s="343">
        <f t="shared" ref="F9" si="21">BH9</f>
        <v>0</v>
      </c>
      <c r="G9" s="343"/>
      <c r="H9" s="343"/>
      <c r="I9" s="344"/>
      <c r="J9" s="344"/>
      <c r="K9" s="344"/>
      <c r="L9" s="343">
        <f t="shared" ref="L9" si="22">SUM(F9:K9)+X9</f>
        <v>0</v>
      </c>
      <c r="M9" s="343"/>
      <c r="N9" s="343"/>
      <c r="O9" s="343">
        <f t="shared" ref="O9" si="23">BI9+BJ9</f>
        <v>0</v>
      </c>
      <c r="P9" s="343"/>
      <c r="Q9" s="343"/>
      <c r="R9" s="299"/>
      <c r="S9" s="299"/>
      <c r="T9" s="299"/>
      <c r="U9" s="340">
        <f t="shared" ref="U9" si="24">SUM(O9:T9)+AD9</f>
        <v>0</v>
      </c>
      <c r="V9" s="340"/>
      <c r="W9" s="340"/>
      <c r="X9" s="299"/>
      <c r="Y9" s="299"/>
      <c r="Z9" s="299"/>
      <c r="AA9" s="299"/>
      <c r="AB9" s="299"/>
      <c r="AC9" s="299"/>
      <c r="AD9" s="299"/>
      <c r="AE9" s="299"/>
      <c r="AF9" s="299"/>
      <c r="AG9" s="299"/>
      <c r="AH9" s="299"/>
      <c r="AI9" s="299"/>
      <c r="AJ9" s="340">
        <f t="shared" ref="AJ9" si="25">L9-U9</f>
        <v>0</v>
      </c>
      <c r="AK9" s="340"/>
      <c r="AL9" s="340"/>
      <c r="AM9" s="340"/>
      <c r="AN9" s="340"/>
      <c r="AO9" s="340"/>
      <c r="AP9" s="340">
        <f>IF(C9&lt;&gt;0,IF(BJ9=0,VLOOKUP('Info General'!C27,Incidentes!$C$6:$Y$10,4,0),BJ9),"0")</f>
        <v>0</v>
      </c>
      <c r="AQ9" s="340"/>
      <c r="AR9" s="340"/>
      <c r="AS9" s="340"/>
      <c r="AT9" s="340"/>
      <c r="AU9" s="340"/>
      <c r="AV9" s="341">
        <f t="shared" ref="AV9" si="26">IF(L9&lt;&gt;0,(U9+AD9)/(L9+X9),0)</f>
        <v>0</v>
      </c>
      <c r="AW9" s="341"/>
      <c r="AX9" s="341"/>
      <c r="AY9" s="341"/>
      <c r="AZ9" s="341"/>
      <c r="BA9" s="340">
        <f t="shared" ref="BA9" si="27">BL9</f>
        <v>0</v>
      </c>
      <c r="BB9" s="340"/>
      <c r="BC9" s="340"/>
      <c r="BD9" s="340"/>
      <c r="BE9" s="340"/>
      <c r="BG9" s="11"/>
      <c r="BH9" s="65">
        <f>COUNTIF('Casos de prueba'!$C$8:$C$7009,'Resumen C.P.'!C9)</f>
        <v>0</v>
      </c>
      <c r="BI9" s="65">
        <f>COUNTIFS('Casos de prueba'!$C$8:$C$7007,'Resumen C.P.'!C9,'Casos de prueba'!$CR$8:$CR$7007,$BI$5)</f>
        <v>0</v>
      </c>
      <c r="BJ9" s="65">
        <f>COUNTIFS('Casos de prueba'!$C$8:$C$7007,C9,'Casos de prueba'!$CR$8:$CR$7007,$BJ$5)</f>
        <v>0</v>
      </c>
      <c r="BK9" s="66" t="str">
        <f>IF(U9&lt;&gt;0,Incidentes!F12/U9,"")</f>
        <v/>
      </c>
      <c r="BL9" s="65">
        <f>COUNTIFS('Casos de prueba'!$C$8:$C$7007,'Resumen C.P.'!C9,'Casos de prueba'!$CF$8:$CF$7007,$BL$5)</f>
        <v>0</v>
      </c>
      <c r="BM9" s="76"/>
      <c r="BO9" s="65"/>
      <c r="BP9" s="65"/>
      <c r="BQ9" s="65"/>
      <c r="BR9" s="65"/>
      <c r="BS9" s="65"/>
      <c r="BT9" s="65"/>
      <c r="BX9" s="4"/>
      <c r="BY9" s="4"/>
    </row>
    <row r="10" spans="1:93" ht="4.5" customHeight="1" x14ac:dyDescent="0.25">
      <c r="A10" s="7" t="s">
        <v>161</v>
      </c>
      <c r="C10" s="348"/>
      <c r="D10" s="348"/>
      <c r="E10" s="348"/>
      <c r="F10" s="348"/>
      <c r="G10" s="348"/>
      <c r="H10" s="348"/>
      <c r="I10" s="348"/>
      <c r="J10" s="348"/>
      <c r="K10" s="348"/>
      <c r="L10" s="348"/>
      <c r="M10" s="348"/>
      <c r="N10" s="348"/>
      <c r="O10" s="348"/>
      <c r="P10" s="348"/>
      <c r="Q10" s="348"/>
      <c r="R10" s="348"/>
      <c r="S10" s="348"/>
      <c r="T10" s="348"/>
      <c r="U10" s="348"/>
      <c r="V10" s="348"/>
      <c r="W10" s="348"/>
      <c r="X10" s="348"/>
      <c r="Y10" s="348"/>
      <c r="Z10" s="348"/>
      <c r="AA10" s="348"/>
      <c r="AB10" s="348"/>
      <c r="AC10" s="348"/>
      <c r="AD10" s="348"/>
      <c r="AE10" s="348"/>
      <c r="AF10" s="348"/>
      <c r="AG10" s="348"/>
      <c r="AH10" s="348"/>
      <c r="AI10" s="348"/>
      <c r="AJ10" s="348"/>
      <c r="AK10" s="348"/>
      <c r="AL10" s="348"/>
      <c r="AM10" s="348"/>
      <c r="AN10" s="348"/>
      <c r="AO10" s="348"/>
      <c r="AP10" s="348"/>
      <c r="AQ10" s="348"/>
      <c r="AR10" s="348"/>
      <c r="AS10" s="348"/>
      <c r="AT10" s="348"/>
      <c r="AU10" s="348"/>
      <c r="AV10" s="348"/>
      <c r="AW10" s="348"/>
      <c r="AX10" s="348"/>
      <c r="AY10" s="348"/>
      <c r="AZ10" s="348"/>
      <c r="BA10" s="348"/>
      <c r="BB10" s="348"/>
      <c r="BC10" s="348"/>
      <c r="BD10" s="348"/>
      <c r="BE10" s="348"/>
      <c r="BG10" s="11"/>
      <c r="BH10" s="65"/>
      <c r="BI10" s="65"/>
      <c r="BJ10" s="65"/>
      <c r="BL10" s="65"/>
      <c r="BM10" s="76"/>
      <c r="BO10" s="65"/>
      <c r="BP10" s="65"/>
      <c r="BQ10" s="65"/>
      <c r="BR10" s="65"/>
      <c r="BS10" s="65"/>
      <c r="BT10" s="65"/>
      <c r="BX10" s="4"/>
      <c r="BY10" s="4"/>
    </row>
    <row r="11" spans="1:93" ht="15.95" customHeight="1" x14ac:dyDescent="0.25">
      <c r="C11" s="342" t="s">
        <v>210</v>
      </c>
      <c r="D11" s="342"/>
      <c r="E11" s="342"/>
      <c r="F11" s="343">
        <f>SUM(F5:F10)</f>
        <v>9</v>
      </c>
      <c r="G11" s="343"/>
      <c r="H11" s="343"/>
      <c r="I11" s="343">
        <f>SUM(I5:I10)</f>
        <v>0</v>
      </c>
      <c r="J11" s="343"/>
      <c r="K11" s="343"/>
      <c r="L11" s="343">
        <f>SUM(L5:L10)</f>
        <v>9</v>
      </c>
      <c r="M11" s="343"/>
      <c r="N11" s="343"/>
      <c r="O11" s="343">
        <f>SUM(O5:O10)</f>
        <v>9</v>
      </c>
      <c r="P11" s="343"/>
      <c r="Q11" s="343"/>
      <c r="R11" s="343">
        <f>SUM(R5:R10)</f>
        <v>0</v>
      </c>
      <c r="S11" s="343"/>
      <c r="T11" s="343"/>
      <c r="U11" s="343">
        <f>SUM(U5:U10)</f>
        <v>9</v>
      </c>
      <c r="V11" s="343"/>
      <c r="W11" s="343"/>
      <c r="X11" s="345">
        <f>SUM(X5:X10)</f>
        <v>0</v>
      </c>
      <c r="Y11" s="345"/>
      <c r="Z11" s="345"/>
      <c r="AA11" s="345"/>
      <c r="AB11" s="345"/>
      <c r="AC11" s="345"/>
      <c r="AD11" s="345">
        <f>SUM(AD5:AD10)</f>
        <v>0</v>
      </c>
      <c r="AE11" s="345"/>
      <c r="AF11" s="345"/>
      <c r="AG11" s="345"/>
      <c r="AH11" s="345"/>
      <c r="AI11" s="345"/>
      <c r="AJ11" s="345">
        <f>SUM(AJ5:AJ10)</f>
        <v>0</v>
      </c>
      <c r="AK11" s="345"/>
      <c r="AL11" s="345"/>
      <c r="AM11" s="345"/>
      <c r="AN11" s="345"/>
      <c r="AO11" s="345"/>
      <c r="AP11" s="345">
        <f>SUM(AP5:AP10)</f>
        <v>0</v>
      </c>
      <c r="AQ11" s="345"/>
      <c r="AR11" s="345"/>
      <c r="AS11" s="345"/>
      <c r="AT11" s="345"/>
      <c r="AU11" s="345"/>
      <c r="AV11" s="341">
        <f>AVERAGE(AV5:AV10)</f>
        <v>0.5</v>
      </c>
      <c r="AW11" s="341"/>
      <c r="AX11" s="341"/>
      <c r="AY11" s="341"/>
      <c r="AZ11" s="341"/>
      <c r="BA11" s="346">
        <f>SUM(BA5:BA10)</f>
        <v>0</v>
      </c>
      <c r="BB11" s="346"/>
      <c r="BC11" s="346"/>
      <c r="BD11" s="346"/>
      <c r="BE11" s="346"/>
      <c r="BG11" s="11"/>
      <c r="BH11" s="79"/>
      <c r="BI11" s="79"/>
      <c r="BJ11" s="79"/>
      <c r="BK11" s="75">
        <f>AVERAGE(BK6:BK10)</f>
        <v>0</v>
      </c>
      <c r="BL11" s="79"/>
      <c r="BM11" s="76"/>
      <c r="BN11" s="79"/>
      <c r="BO11" s="79"/>
      <c r="BP11" s="79"/>
      <c r="BQ11" s="79"/>
      <c r="BR11" s="79"/>
      <c r="BS11" s="79"/>
      <c r="BT11" s="79"/>
      <c r="BU11" s="4"/>
      <c r="BV11" s="4"/>
      <c r="BW11" s="4"/>
      <c r="BX11" s="4"/>
      <c r="BY11" s="4"/>
      <c r="BZ11" s="4"/>
      <c r="CA11" s="4"/>
      <c r="CB11" s="4"/>
    </row>
    <row r="12" spans="1:93" x14ac:dyDescent="0.25">
      <c r="C12" s="4"/>
      <c r="D12" s="4"/>
      <c r="E12" s="4"/>
      <c r="F12" s="4"/>
      <c r="G12" s="4"/>
      <c r="H12" s="4"/>
      <c r="I12" s="4"/>
      <c r="J12" s="4"/>
      <c r="K12" s="4"/>
      <c r="L12" s="4"/>
      <c r="M12" s="4"/>
      <c r="N12" s="4"/>
      <c r="O12" s="4"/>
      <c r="P12" s="4"/>
      <c r="Q12" s="4"/>
      <c r="R12" s="4"/>
      <c r="S12" s="9"/>
      <c r="T12" s="9"/>
      <c r="U12" s="9"/>
      <c r="W12" s="4"/>
      <c r="X12" s="4"/>
      <c r="Y12" s="4"/>
      <c r="Z12" s="4"/>
      <c r="AA12" s="4"/>
      <c r="AB12" s="4"/>
      <c r="AC12" s="4"/>
      <c r="AD12" s="4"/>
      <c r="AE12" s="4"/>
      <c r="AF12" s="4"/>
      <c r="AG12" s="4"/>
      <c r="AH12" s="4"/>
      <c r="AI12" s="4"/>
      <c r="AJ12" s="4"/>
      <c r="AK12" s="4"/>
      <c r="AL12" s="4"/>
      <c r="AM12" s="4"/>
      <c r="AN12" s="4"/>
      <c r="AO12" s="4"/>
      <c r="BG12" s="11"/>
      <c r="BH12" s="79"/>
      <c r="BI12" s="79"/>
      <c r="BJ12" s="79"/>
      <c r="BK12" s="75"/>
      <c r="BL12" s="79"/>
      <c r="BM12" s="76"/>
      <c r="BN12" s="79"/>
      <c r="BO12" s="79"/>
      <c r="BP12" s="79"/>
      <c r="BQ12" s="79"/>
      <c r="BR12" s="79"/>
      <c r="BS12" s="79"/>
      <c r="BT12" s="79"/>
      <c r="BU12" s="4"/>
      <c r="BV12" s="4"/>
      <c r="BW12" s="4"/>
      <c r="BX12" s="4"/>
      <c r="BY12" s="4"/>
      <c r="BZ12" s="4"/>
      <c r="CA12" s="4"/>
      <c r="CB12" s="4"/>
    </row>
    <row r="13" spans="1:93" x14ac:dyDescent="0.25">
      <c r="C13" s="149"/>
      <c r="D13" s="149"/>
      <c r="E13" s="149"/>
      <c r="F13" s="149"/>
      <c r="G13" s="149"/>
      <c r="H13" s="149"/>
      <c r="I13" s="149"/>
      <c r="J13" s="149"/>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49"/>
      <c r="AP13" s="149"/>
      <c r="AQ13" s="149"/>
      <c r="AR13" s="149"/>
      <c r="AS13" s="149"/>
      <c r="AT13" s="149"/>
      <c r="AU13" s="149"/>
      <c r="AV13" s="149"/>
      <c r="AW13" s="149"/>
      <c r="AX13" s="149"/>
      <c r="AY13" s="149"/>
      <c r="AZ13" s="149"/>
      <c r="BA13" s="149"/>
      <c r="BB13" s="149"/>
      <c r="BC13" s="149"/>
      <c r="BD13" s="149"/>
      <c r="BE13" s="149"/>
      <c r="BF13" s="34"/>
      <c r="BG13" s="14"/>
      <c r="BH13" s="14"/>
      <c r="BI13" s="14"/>
      <c r="BJ13" s="14"/>
      <c r="BK13" s="80"/>
      <c r="BL13" s="14"/>
      <c r="BM13" s="57"/>
      <c r="BN13" s="77"/>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row>
    <row r="14" spans="1:93" x14ac:dyDescent="0.25">
      <c r="C14" s="4"/>
      <c r="D14" s="4"/>
      <c r="E14" s="4"/>
      <c r="F14" s="4"/>
      <c r="G14" s="4"/>
      <c r="H14" s="4"/>
      <c r="I14" s="4"/>
      <c r="J14" s="4"/>
      <c r="K14" s="4"/>
      <c r="L14" s="4"/>
      <c r="M14" s="4"/>
      <c r="N14" s="4"/>
      <c r="O14" s="4"/>
      <c r="P14" s="4"/>
      <c r="Q14" s="4"/>
      <c r="R14" s="4"/>
      <c r="S14" s="8"/>
      <c r="T14" s="8"/>
      <c r="U14" s="8"/>
      <c r="W14" s="4"/>
      <c r="X14" s="4"/>
      <c r="Y14" s="4"/>
      <c r="Z14" s="4"/>
      <c r="AA14" s="4"/>
      <c r="AB14" s="4"/>
      <c r="AC14" s="4"/>
      <c r="AD14" s="4"/>
      <c r="AE14" s="4"/>
      <c r="AF14" s="4"/>
      <c r="AG14" s="4"/>
      <c r="AH14" s="4"/>
      <c r="AI14" s="4"/>
      <c r="AJ14" s="4"/>
      <c r="AK14" s="4"/>
      <c r="AL14" s="4"/>
      <c r="AM14" s="4"/>
      <c r="AN14" s="4"/>
      <c r="AO14" s="4"/>
      <c r="BH14" s="4"/>
      <c r="BI14" s="4"/>
      <c r="BJ14" s="4"/>
      <c r="BK14" s="4"/>
      <c r="BL14" s="4"/>
      <c r="BN14" s="79"/>
      <c r="BO14" s="4"/>
      <c r="BP14" s="4"/>
      <c r="BQ14" s="4"/>
      <c r="BR14" s="4"/>
      <c r="BS14" s="4"/>
      <c r="BT14" s="4"/>
      <c r="BU14" s="4"/>
      <c r="BV14" s="4"/>
      <c r="BW14" s="4"/>
      <c r="BX14" s="4"/>
      <c r="BY14" s="4"/>
      <c r="BZ14" s="4"/>
      <c r="CA14" s="4"/>
      <c r="CB14" s="4"/>
    </row>
    <row r="15" spans="1:93" x14ac:dyDescent="0.25">
      <c r="C15" s="4"/>
      <c r="D15" s="4"/>
      <c r="E15" s="4"/>
      <c r="F15" s="4"/>
      <c r="G15" s="4"/>
      <c r="H15" s="4"/>
      <c r="I15" s="4"/>
      <c r="J15" s="4"/>
      <c r="K15" s="4"/>
      <c r="L15" s="4"/>
      <c r="M15" s="4"/>
      <c r="N15" s="4"/>
      <c r="O15" s="4"/>
      <c r="P15" s="4"/>
      <c r="Q15" s="4"/>
      <c r="R15" s="4"/>
      <c r="S15" s="8"/>
      <c r="T15" s="8"/>
      <c r="U15" s="8"/>
      <c r="W15" s="4"/>
      <c r="X15" s="4"/>
      <c r="Y15" s="4"/>
      <c r="Z15" s="4"/>
      <c r="AA15" s="4"/>
      <c r="AB15" s="4"/>
      <c r="AC15" s="4"/>
      <c r="AD15" s="4"/>
      <c r="AE15" s="4"/>
      <c r="AF15" s="4"/>
      <c r="AG15" s="4"/>
      <c r="AH15" s="4"/>
      <c r="AI15" s="4"/>
      <c r="AJ15" s="4"/>
      <c r="AK15" s="4"/>
      <c r="AL15" s="4"/>
      <c r="AM15" s="4"/>
      <c r="AN15" s="4"/>
      <c r="AO15" s="4"/>
      <c r="BH15" s="4"/>
      <c r="BI15" s="4"/>
      <c r="BJ15" s="4"/>
      <c r="BK15" s="4"/>
      <c r="BL15" s="4"/>
      <c r="BN15" s="79"/>
      <c r="BO15" s="4"/>
      <c r="BP15" s="4"/>
      <c r="BQ15" s="4"/>
      <c r="BR15" s="4"/>
      <c r="BS15" s="4"/>
      <c r="BT15" s="4"/>
      <c r="BU15" s="4"/>
      <c r="BV15" s="4"/>
      <c r="BW15" s="4"/>
      <c r="BX15" s="4"/>
      <c r="BY15" s="4"/>
      <c r="BZ15" s="4"/>
      <c r="CA15" s="4"/>
      <c r="CB15" s="4"/>
    </row>
    <row r="16" spans="1:93" x14ac:dyDescent="0.25">
      <c r="C16" s="4"/>
      <c r="D16" s="4"/>
      <c r="E16" s="4"/>
      <c r="F16" s="4"/>
      <c r="G16" s="4"/>
      <c r="H16" s="4"/>
      <c r="I16" s="4"/>
      <c r="J16" s="4"/>
      <c r="K16" s="4"/>
      <c r="L16" s="4"/>
      <c r="M16" s="4"/>
      <c r="N16" s="4"/>
      <c r="O16" s="4"/>
      <c r="P16" s="4"/>
      <c r="Q16" s="4"/>
      <c r="R16" s="4"/>
      <c r="S16" s="4"/>
      <c r="T16" s="4"/>
      <c r="U16" s="4"/>
      <c r="W16" s="4"/>
      <c r="X16" s="4"/>
      <c r="Y16" s="4"/>
      <c r="Z16" s="4"/>
      <c r="AA16" s="4"/>
      <c r="AB16" s="4"/>
      <c r="AC16" s="4"/>
      <c r="AD16" s="4"/>
      <c r="AE16" s="4"/>
      <c r="AF16" s="4"/>
      <c r="AG16" s="4"/>
      <c r="AH16" s="4"/>
      <c r="AI16" s="4"/>
      <c r="AJ16" s="4"/>
      <c r="AK16" s="4"/>
      <c r="AL16" s="4"/>
      <c r="AM16" s="4"/>
      <c r="AN16" s="4"/>
      <c r="AO16" s="4"/>
      <c r="BH16" s="4"/>
      <c r="BI16" s="4"/>
      <c r="BJ16" s="4"/>
      <c r="BK16" s="4"/>
      <c r="BL16" s="4"/>
      <c r="BN16" s="79"/>
      <c r="BO16" s="4"/>
      <c r="BP16" s="4"/>
      <c r="BQ16" s="4"/>
      <c r="BR16" s="4"/>
      <c r="BS16" s="4"/>
      <c r="BT16" s="4"/>
      <c r="BU16" s="4"/>
      <c r="BV16" s="4"/>
      <c r="BW16" s="4"/>
      <c r="BX16" s="4"/>
      <c r="BY16" s="4"/>
      <c r="BZ16" s="4"/>
      <c r="CA16" s="4"/>
      <c r="CB16" s="4"/>
    </row>
    <row r="17" spans="3:77" x14ac:dyDescent="0.25">
      <c r="C17" s="3"/>
    </row>
    <row r="18" spans="3:77" x14ac:dyDescent="0.25">
      <c r="C18" s="20"/>
      <c r="D18" s="20"/>
      <c r="E18" s="20"/>
      <c r="F18" s="20"/>
      <c r="G18" s="20"/>
      <c r="H18" s="20"/>
      <c r="I18" s="20"/>
      <c r="J18" s="20"/>
      <c r="K18" s="20"/>
      <c r="L18" s="20"/>
      <c r="M18" s="20"/>
      <c r="N18" s="20"/>
      <c r="O18" s="20"/>
      <c r="P18" s="20"/>
    </row>
    <row r="19" spans="3:77" x14ac:dyDescent="0.25">
      <c r="C19" s="20"/>
      <c r="D19" s="20"/>
      <c r="E19" s="20"/>
      <c r="F19" s="20"/>
      <c r="G19" s="20"/>
      <c r="H19" s="20"/>
      <c r="I19" s="20"/>
      <c r="J19" s="20"/>
      <c r="K19" s="20"/>
      <c r="L19" s="20"/>
      <c r="M19" s="20"/>
      <c r="N19" s="20"/>
      <c r="O19" s="20"/>
      <c r="P19" s="20"/>
    </row>
    <row r="25" spans="3:77" ht="12.75" hidden="1" customHeight="1" x14ac:dyDescent="0.25"/>
    <row r="26" spans="3:77" ht="12.75" hidden="1" customHeight="1" x14ac:dyDescent="0.25"/>
    <row r="27" spans="3:77" x14ac:dyDescent="0.25">
      <c r="BI27" s="5"/>
      <c r="BJ27" s="5"/>
      <c r="BK27" s="5"/>
      <c r="BL27" s="5"/>
      <c r="BN27" s="83"/>
      <c r="BO27" s="5"/>
      <c r="BP27" s="5"/>
      <c r="BQ27" s="5"/>
      <c r="BR27" s="5"/>
      <c r="BS27" s="5"/>
      <c r="BT27" s="5"/>
      <c r="BU27" s="5"/>
      <c r="BV27" s="5"/>
      <c r="BW27" s="5"/>
      <c r="BX27" s="5"/>
      <c r="BY27" s="5"/>
    </row>
    <row r="28" spans="3:77" x14ac:dyDescent="0.25">
      <c r="BI28" s="5"/>
      <c r="BJ28" s="5"/>
      <c r="BK28" s="5"/>
      <c r="BL28" s="5"/>
      <c r="BN28" s="83"/>
      <c r="BO28" s="5"/>
      <c r="BP28" s="5"/>
      <c r="BQ28" s="5"/>
      <c r="BR28" s="5"/>
      <c r="BS28" s="5"/>
      <c r="BT28" s="5"/>
      <c r="BU28" s="5"/>
      <c r="BV28" s="5"/>
      <c r="BW28" s="5"/>
      <c r="BX28" s="5"/>
      <c r="BY28" s="5"/>
    </row>
    <row r="29" spans="3:77" x14ac:dyDescent="0.25">
      <c r="BI29" s="5"/>
      <c r="BJ29" s="5"/>
      <c r="BK29" s="5"/>
      <c r="BL29" s="5"/>
      <c r="BN29" s="83"/>
      <c r="BO29" s="5"/>
      <c r="BP29" s="5"/>
      <c r="BQ29" s="5"/>
      <c r="BR29" s="5"/>
      <c r="BS29" s="5"/>
      <c r="BT29" s="5"/>
      <c r="BU29" s="5"/>
      <c r="BV29" s="5"/>
      <c r="BW29" s="5"/>
      <c r="BX29" s="5"/>
      <c r="BY29" s="5"/>
    </row>
    <row r="30" spans="3:77" x14ac:dyDescent="0.25">
      <c r="BI30" s="5"/>
      <c r="BJ30" s="5"/>
      <c r="BK30" s="5"/>
      <c r="BL30" s="5"/>
      <c r="BN30" s="83"/>
      <c r="BO30" s="5"/>
      <c r="BP30" s="5"/>
      <c r="BQ30" s="5"/>
      <c r="BR30" s="5"/>
      <c r="BS30" s="5"/>
      <c r="BT30" s="5"/>
      <c r="BU30" s="5"/>
      <c r="BV30" s="5"/>
      <c r="BW30" s="5"/>
      <c r="BX30" s="5"/>
      <c r="BY30" s="5"/>
    </row>
    <row r="31" spans="3:77" x14ac:dyDescent="0.25">
      <c r="BI31" s="5"/>
      <c r="BJ31" s="5"/>
      <c r="BK31" s="5"/>
      <c r="BL31" s="5"/>
      <c r="BN31" s="83"/>
      <c r="BO31" s="5"/>
      <c r="BP31" s="5"/>
      <c r="BQ31" s="5"/>
      <c r="BR31" s="5"/>
      <c r="BS31" s="5"/>
    </row>
    <row r="32" spans="3:77" ht="12.75" hidden="1" customHeight="1" x14ac:dyDescent="0.25"/>
  </sheetData>
  <sheetProtection algorithmName="SHA-512" hashValue="f9UD23MoCM6+D6265cVNLG4YGZW8qBuKbkLstadpIS+ot8Jnatj7PKxWeUQqtrRksiONY6/VdAuWa3IjTjVTUQ==" saltValue="uWgvoMEmKTJtrWGgTLizzA==" spinCount="100000" sheet="1" objects="1" scenarios="1" formatCells="0" formatRows="0" selectLockedCells="1" autoFilter="0"/>
  <mergeCells count="84">
    <mergeCell ref="AP9:AU9"/>
    <mergeCell ref="AV9:AZ9"/>
    <mergeCell ref="BA9:BE9"/>
    <mergeCell ref="R9:T9"/>
    <mergeCell ref="U9:W9"/>
    <mergeCell ref="X9:AC9"/>
    <mergeCell ref="AD9:AI9"/>
    <mergeCell ref="AJ9:AO9"/>
    <mergeCell ref="C9:E9"/>
    <mergeCell ref="F9:H9"/>
    <mergeCell ref="I9:K9"/>
    <mergeCell ref="L9:N9"/>
    <mergeCell ref="O9:Q9"/>
    <mergeCell ref="C2:O2"/>
    <mergeCell ref="C6:E6"/>
    <mergeCell ref="F6:H6"/>
    <mergeCell ref="I6:K6"/>
    <mergeCell ref="L6:N6"/>
    <mergeCell ref="O6:Q6"/>
    <mergeCell ref="C4:E5"/>
    <mergeCell ref="F4:N4"/>
    <mergeCell ref="O4:W4"/>
    <mergeCell ref="F5:H5"/>
    <mergeCell ref="I5:K5"/>
    <mergeCell ref="L5:N5"/>
    <mergeCell ref="BA4:BE5"/>
    <mergeCell ref="BA6:BE6"/>
    <mergeCell ref="C10:BE10"/>
    <mergeCell ref="U6:W6"/>
    <mergeCell ref="R6:T6"/>
    <mergeCell ref="U5:W5"/>
    <mergeCell ref="X6:AC6"/>
    <mergeCell ref="AD6:AI6"/>
    <mergeCell ref="O5:Q5"/>
    <mergeCell ref="R5:T5"/>
    <mergeCell ref="AV4:AZ5"/>
    <mergeCell ref="AV6:AZ6"/>
    <mergeCell ref="X4:AI4"/>
    <mergeCell ref="X5:AC5"/>
    <mergeCell ref="AD5:AI5"/>
    <mergeCell ref="AP4:AU5"/>
    <mergeCell ref="AP6:AU6"/>
    <mergeCell ref="AJ6:AO6"/>
    <mergeCell ref="AJ4:AO5"/>
    <mergeCell ref="C11:E11"/>
    <mergeCell ref="F11:H11"/>
    <mergeCell ref="I11:K11"/>
    <mergeCell ref="L11:N11"/>
    <mergeCell ref="C7:E7"/>
    <mergeCell ref="F7:H7"/>
    <mergeCell ref="I7:K7"/>
    <mergeCell ref="L7:N7"/>
    <mergeCell ref="O7:Q7"/>
    <mergeCell ref="R7:T7"/>
    <mergeCell ref="U7:W7"/>
    <mergeCell ref="X7:AC7"/>
    <mergeCell ref="AD7:AI7"/>
    <mergeCell ref="C13:BE13"/>
    <mergeCell ref="O11:Q11"/>
    <mergeCell ref="AP11:AU11"/>
    <mergeCell ref="AV11:AZ11"/>
    <mergeCell ref="BA11:BE11"/>
    <mergeCell ref="R11:T11"/>
    <mergeCell ref="U11:W11"/>
    <mergeCell ref="X11:AC11"/>
    <mergeCell ref="AD11:AI11"/>
    <mergeCell ref="AJ11:AO11"/>
    <mergeCell ref="R8:T8"/>
    <mergeCell ref="U8:W8"/>
    <mergeCell ref="X8:AC8"/>
    <mergeCell ref="AD8:AI8"/>
    <mergeCell ref="AJ8:AO8"/>
    <mergeCell ref="C8:E8"/>
    <mergeCell ref="F8:H8"/>
    <mergeCell ref="I8:K8"/>
    <mergeCell ref="L8:N8"/>
    <mergeCell ref="O8:Q8"/>
    <mergeCell ref="BA8:BE8"/>
    <mergeCell ref="AJ7:AO7"/>
    <mergeCell ref="AP7:AU7"/>
    <mergeCell ref="AV7:AZ7"/>
    <mergeCell ref="BA7:BE7"/>
    <mergeCell ref="AP8:AU8"/>
    <mergeCell ref="AV8:AZ8"/>
  </mergeCell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9" tint="0.39997558519241921"/>
  </sheetPr>
  <dimension ref="A1:BW32"/>
  <sheetViews>
    <sheetView showGridLines="0" zoomScale="110" zoomScaleNormal="110" workbookViewId="0">
      <selection activeCell="F6" sqref="F6:I6"/>
    </sheetView>
  </sheetViews>
  <sheetFormatPr baseColWidth="10" defaultColWidth="2.7109375" defaultRowHeight="12.75" x14ac:dyDescent="0.2"/>
  <cols>
    <col min="1" max="1" width="1.42578125" style="1" customWidth="1"/>
    <col min="2" max="2" width="0.28515625" style="1" customWidth="1"/>
    <col min="3" max="5" width="2.7109375" style="1"/>
    <col min="6" max="25" width="2.28515625" style="1" customWidth="1"/>
    <col min="26" max="26" width="0.140625" style="1" customWidth="1"/>
    <col min="27" max="27" width="1.7109375" style="1" customWidth="1"/>
    <col min="28" max="38" width="2.7109375" style="1" customWidth="1"/>
    <col min="39" max="39" width="2.5703125" style="1" customWidth="1"/>
    <col min="40" max="40" width="1.7109375" style="1" hidden="1" customWidth="1"/>
    <col min="41" max="41" width="1.7109375" style="1" customWidth="1"/>
    <col min="42" max="57" width="2.28515625" style="1" customWidth="1"/>
    <col min="58" max="58" width="1.7109375" style="1" hidden="1" customWidth="1"/>
    <col min="59" max="59" width="1.7109375" style="1" customWidth="1"/>
    <col min="60" max="75" width="2.42578125" style="1" customWidth="1"/>
    <col min="76" max="16384" width="2.7109375" style="1"/>
  </cols>
  <sheetData>
    <row r="1" spans="1:75" ht="48" customHeight="1" thickBot="1" x14ac:dyDescent="0.25"/>
    <row r="2" spans="1:75" ht="13.5" thickBot="1" x14ac:dyDescent="0.25">
      <c r="C2" s="353" t="s">
        <v>160</v>
      </c>
      <c r="D2" s="354"/>
      <c r="E2" s="354"/>
      <c r="F2" s="354"/>
      <c r="G2" s="354"/>
      <c r="H2" s="354"/>
      <c r="I2" s="354"/>
      <c r="J2" s="354"/>
      <c r="K2" s="354"/>
      <c r="L2" s="354"/>
      <c r="M2" s="354"/>
      <c r="N2" s="354"/>
      <c r="O2" s="355"/>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4" spans="1:75" x14ac:dyDescent="0.2">
      <c r="A4" s="11"/>
      <c r="C4" s="204" t="s">
        <v>88</v>
      </c>
      <c r="D4" s="204"/>
      <c r="E4" s="204"/>
      <c r="F4" s="204"/>
      <c r="G4" s="204"/>
      <c r="H4" s="204"/>
      <c r="I4" s="204"/>
      <c r="J4" s="204"/>
      <c r="K4" s="204"/>
      <c r="L4" s="204"/>
      <c r="M4" s="204"/>
      <c r="N4" s="204"/>
      <c r="O4" s="204"/>
      <c r="P4" s="204"/>
      <c r="Q4" s="204"/>
      <c r="R4" s="204"/>
      <c r="S4" s="204"/>
      <c r="T4" s="204"/>
      <c r="U4" s="204"/>
      <c r="V4" s="204"/>
      <c r="W4" s="204"/>
      <c r="X4" s="204"/>
      <c r="Y4" s="204"/>
      <c r="Z4" s="22"/>
      <c r="AA4" s="22"/>
      <c r="AB4" s="352" t="s">
        <v>94</v>
      </c>
      <c r="AC4" s="352"/>
      <c r="AD4" s="352"/>
      <c r="AE4" s="352"/>
      <c r="AF4" s="352"/>
      <c r="AG4" s="352"/>
      <c r="AH4" s="352"/>
      <c r="AI4" s="352"/>
      <c r="AJ4" s="352"/>
      <c r="AK4" s="352"/>
      <c r="AL4" s="352"/>
      <c r="AM4" s="352"/>
      <c r="AN4" s="22"/>
      <c r="AO4" s="22"/>
      <c r="AP4" s="352" t="s">
        <v>69</v>
      </c>
      <c r="AQ4" s="352"/>
      <c r="AR4" s="352"/>
      <c r="AS4" s="352"/>
      <c r="AT4" s="352"/>
      <c r="AU4" s="352"/>
      <c r="AV4" s="352"/>
      <c r="AW4" s="352"/>
      <c r="AX4" s="352"/>
      <c r="AY4" s="352"/>
      <c r="AZ4" s="352"/>
      <c r="BA4" s="352"/>
      <c r="BB4" s="352"/>
      <c r="BC4" s="352"/>
      <c r="BD4" s="352"/>
      <c r="BE4" s="352"/>
      <c r="BF4" s="22"/>
      <c r="BG4" s="22"/>
      <c r="BH4" s="352" t="s">
        <v>95</v>
      </c>
      <c r="BI4" s="352"/>
      <c r="BJ4" s="352"/>
      <c r="BK4" s="352"/>
      <c r="BL4" s="352"/>
      <c r="BM4" s="352"/>
      <c r="BN4" s="352"/>
      <c r="BO4" s="352"/>
      <c r="BP4" s="352"/>
      <c r="BQ4" s="352"/>
      <c r="BR4" s="352"/>
      <c r="BS4" s="352"/>
      <c r="BT4" s="352"/>
      <c r="BU4" s="352"/>
      <c r="BV4" s="352"/>
      <c r="BW4" s="352"/>
    </row>
    <row r="5" spans="1:75" x14ac:dyDescent="0.2">
      <c r="A5" s="7" t="s">
        <v>162</v>
      </c>
      <c r="C5" s="351" t="s">
        <v>31</v>
      </c>
      <c r="D5" s="351"/>
      <c r="E5" s="351"/>
      <c r="F5" s="351" t="s">
        <v>89</v>
      </c>
      <c r="G5" s="351"/>
      <c r="H5" s="351"/>
      <c r="I5" s="351"/>
      <c r="J5" s="351" t="s">
        <v>90</v>
      </c>
      <c r="K5" s="351"/>
      <c r="L5" s="351"/>
      <c r="M5" s="351"/>
      <c r="N5" s="351" t="s">
        <v>91</v>
      </c>
      <c r="O5" s="351"/>
      <c r="P5" s="351"/>
      <c r="Q5" s="351"/>
      <c r="R5" s="351" t="s">
        <v>92</v>
      </c>
      <c r="S5" s="351"/>
      <c r="T5" s="351"/>
      <c r="U5" s="351"/>
      <c r="V5" s="351" t="s">
        <v>93</v>
      </c>
      <c r="W5" s="351"/>
      <c r="X5" s="351"/>
      <c r="Y5" s="351"/>
      <c r="Z5" s="22"/>
      <c r="AA5" s="22"/>
      <c r="AB5" s="351" t="s">
        <v>4</v>
      </c>
      <c r="AC5" s="351"/>
      <c r="AD5" s="351"/>
      <c r="AE5" s="351"/>
      <c r="AF5" s="351" t="s">
        <v>216</v>
      </c>
      <c r="AG5" s="351"/>
      <c r="AH5" s="351"/>
      <c r="AI5" s="351"/>
      <c r="AJ5" s="351" t="s">
        <v>98</v>
      </c>
      <c r="AK5" s="351"/>
      <c r="AL5" s="351"/>
      <c r="AM5" s="351"/>
      <c r="AN5" s="22"/>
      <c r="AO5" s="22"/>
      <c r="AP5" s="351" t="s">
        <v>99</v>
      </c>
      <c r="AQ5" s="351"/>
      <c r="AR5" s="351"/>
      <c r="AS5" s="351"/>
      <c r="AT5" s="351" t="s">
        <v>100</v>
      </c>
      <c r="AU5" s="351"/>
      <c r="AV5" s="351"/>
      <c r="AW5" s="351"/>
      <c r="AX5" s="351" t="s">
        <v>101</v>
      </c>
      <c r="AY5" s="351"/>
      <c r="AZ5" s="351"/>
      <c r="BA5" s="351"/>
      <c r="BB5" s="351" t="s">
        <v>102</v>
      </c>
      <c r="BC5" s="351"/>
      <c r="BD5" s="351"/>
      <c r="BE5" s="351"/>
      <c r="BF5" s="22"/>
      <c r="BG5" s="22"/>
      <c r="BH5" s="351" t="s">
        <v>103</v>
      </c>
      <c r="BI5" s="351"/>
      <c r="BJ5" s="351"/>
      <c r="BK5" s="351"/>
      <c r="BL5" s="351" t="s">
        <v>104</v>
      </c>
      <c r="BM5" s="351"/>
      <c r="BN5" s="351"/>
      <c r="BO5" s="351"/>
      <c r="BP5" s="351" t="s">
        <v>105</v>
      </c>
      <c r="BQ5" s="351"/>
      <c r="BR5" s="351"/>
      <c r="BS5" s="351"/>
      <c r="BT5" s="351" t="s">
        <v>106</v>
      </c>
      <c r="BU5" s="351"/>
      <c r="BV5" s="351"/>
      <c r="BW5" s="351"/>
    </row>
    <row r="6" spans="1:75" s="4" customFormat="1" ht="15.95" customHeight="1" x14ac:dyDescent="0.25">
      <c r="A6" s="32"/>
      <c r="C6" s="343" t="str">
        <f>IF('Info General'!C24:E24&lt;&gt;"",'Info General'!C24:E24,"")</f>
        <v>HU-001</v>
      </c>
      <c r="D6" s="343"/>
      <c r="E6" s="343"/>
      <c r="F6" s="350"/>
      <c r="G6" s="350"/>
      <c r="H6" s="350"/>
      <c r="I6" s="350"/>
      <c r="J6" s="350"/>
      <c r="K6" s="350"/>
      <c r="L6" s="350"/>
      <c r="M6" s="350"/>
      <c r="N6" s="350"/>
      <c r="O6" s="350"/>
      <c r="P6" s="350"/>
      <c r="Q6" s="350"/>
      <c r="R6" s="350"/>
      <c r="S6" s="350"/>
      <c r="T6" s="350"/>
      <c r="U6" s="350"/>
      <c r="V6" s="350"/>
      <c r="W6" s="350"/>
      <c r="X6" s="350"/>
      <c r="Y6" s="350"/>
      <c r="AB6" s="350"/>
      <c r="AC6" s="350"/>
      <c r="AD6" s="350"/>
      <c r="AE6" s="350"/>
      <c r="AF6" s="350"/>
      <c r="AG6" s="350"/>
      <c r="AH6" s="350"/>
      <c r="AI6" s="350"/>
      <c r="AJ6" s="350"/>
      <c r="AK6" s="350"/>
      <c r="AL6" s="350"/>
      <c r="AM6" s="350"/>
      <c r="AP6" s="350"/>
      <c r="AQ6" s="350"/>
      <c r="AR6" s="350"/>
      <c r="AS6" s="350"/>
      <c r="AT6" s="350"/>
      <c r="AU6" s="350"/>
      <c r="AV6" s="350"/>
      <c r="AW6" s="350"/>
      <c r="AX6" s="350"/>
      <c r="AY6" s="350"/>
      <c r="AZ6" s="350"/>
      <c r="BA6" s="350"/>
      <c r="BB6" s="350"/>
      <c r="BC6" s="350"/>
      <c r="BD6" s="350"/>
      <c r="BE6" s="350"/>
      <c r="BH6" s="350"/>
      <c r="BI6" s="350"/>
      <c r="BJ6" s="350"/>
      <c r="BK6" s="350"/>
      <c r="BL6" s="350"/>
      <c r="BM6" s="350"/>
      <c r="BN6" s="350"/>
      <c r="BO6" s="350"/>
      <c r="BP6" s="350"/>
      <c r="BQ6" s="350"/>
      <c r="BR6" s="350"/>
      <c r="BS6" s="350"/>
      <c r="BT6" s="350"/>
      <c r="BU6" s="350"/>
      <c r="BV6" s="350"/>
      <c r="BW6" s="350"/>
    </row>
    <row r="7" spans="1:75" s="4" customFormat="1" ht="15.95" customHeight="1" x14ac:dyDescent="0.25">
      <c r="A7" s="32"/>
      <c r="C7" s="343" t="str">
        <f>IF('Info General'!C25:E25&lt;&gt;"",'Info General'!C25:E25,"")</f>
        <v>HU-002</v>
      </c>
      <c r="D7" s="343"/>
      <c r="E7" s="343"/>
      <c r="F7" s="350"/>
      <c r="G7" s="350"/>
      <c r="H7" s="350"/>
      <c r="I7" s="350"/>
      <c r="J7" s="350"/>
      <c r="K7" s="350"/>
      <c r="L7" s="350"/>
      <c r="M7" s="350"/>
      <c r="N7" s="350"/>
      <c r="O7" s="350"/>
      <c r="P7" s="350"/>
      <c r="Q7" s="350"/>
      <c r="R7" s="350"/>
      <c r="S7" s="350"/>
      <c r="T7" s="350"/>
      <c r="U7" s="350"/>
      <c r="V7" s="350"/>
      <c r="W7" s="350"/>
      <c r="X7" s="350"/>
      <c r="Y7" s="350"/>
      <c r="AB7" s="350"/>
      <c r="AC7" s="350"/>
      <c r="AD7" s="350"/>
      <c r="AE7" s="350"/>
      <c r="AF7" s="350"/>
      <c r="AG7" s="350"/>
      <c r="AH7" s="350"/>
      <c r="AI7" s="350"/>
      <c r="AJ7" s="350"/>
      <c r="AK7" s="350"/>
      <c r="AL7" s="350"/>
      <c r="AM7" s="350"/>
      <c r="AP7" s="350"/>
      <c r="AQ7" s="350"/>
      <c r="AR7" s="350"/>
      <c r="AS7" s="350"/>
      <c r="AT7" s="350"/>
      <c r="AU7" s="350"/>
      <c r="AV7" s="350"/>
      <c r="AW7" s="350"/>
      <c r="AX7" s="350"/>
      <c r="AY7" s="350"/>
      <c r="AZ7" s="350"/>
      <c r="BA7" s="350"/>
      <c r="BB7" s="350"/>
      <c r="BC7" s="350"/>
      <c r="BD7" s="350"/>
      <c r="BE7" s="350"/>
      <c r="BH7" s="350"/>
      <c r="BI7" s="350"/>
      <c r="BJ7" s="350"/>
      <c r="BK7" s="350"/>
      <c r="BL7" s="350"/>
      <c r="BM7" s="350"/>
      <c r="BN7" s="350"/>
      <c r="BO7" s="350"/>
      <c r="BP7" s="350"/>
      <c r="BQ7" s="350"/>
      <c r="BR7" s="350"/>
      <c r="BS7" s="350"/>
      <c r="BT7" s="350"/>
      <c r="BU7" s="350"/>
      <c r="BV7" s="350"/>
      <c r="BW7" s="350"/>
    </row>
    <row r="8" spans="1:75" s="4" customFormat="1" ht="15.95" customHeight="1" x14ac:dyDescent="0.25">
      <c r="A8" s="32"/>
      <c r="C8" s="343" t="str">
        <f>IF('Info General'!C26:E26&lt;&gt;"",'Info General'!C26:E26,"")</f>
        <v>HU-003</v>
      </c>
      <c r="D8" s="343"/>
      <c r="E8" s="343"/>
      <c r="F8" s="350"/>
      <c r="G8" s="350"/>
      <c r="H8" s="350"/>
      <c r="I8" s="350"/>
      <c r="J8" s="350"/>
      <c r="K8" s="350"/>
      <c r="L8" s="350"/>
      <c r="M8" s="350"/>
      <c r="N8" s="350"/>
      <c r="O8" s="350"/>
      <c r="P8" s="350"/>
      <c r="Q8" s="350"/>
      <c r="R8" s="350"/>
      <c r="S8" s="350"/>
      <c r="T8" s="350"/>
      <c r="U8" s="350"/>
      <c r="V8" s="350"/>
      <c r="W8" s="350"/>
      <c r="X8" s="350"/>
      <c r="Y8" s="350"/>
      <c r="AB8" s="350"/>
      <c r="AC8" s="350"/>
      <c r="AD8" s="350"/>
      <c r="AE8" s="350"/>
      <c r="AF8" s="350"/>
      <c r="AG8" s="350"/>
      <c r="AH8" s="350"/>
      <c r="AI8" s="350"/>
      <c r="AJ8" s="350"/>
      <c r="AK8" s="350"/>
      <c r="AL8" s="350"/>
      <c r="AM8" s="350"/>
      <c r="AP8" s="350"/>
      <c r="AQ8" s="350"/>
      <c r="AR8" s="350"/>
      <c r="AS8" s="350"/>
      <c r="AT8" s="350"/>
      <c r="AU8" s="350"/>
      <c r="AV8" s="350"/>
      <c r="AW8" s="350"/>
      <c r="AX8" s="350"/>
      <c r="AY8" s="350"/>
      <c r="AZ8" s="350"/>
      <c r="BA8" s="350"/>
      <c r="BB8" s="350"/>
      <c r="BC8" s="350"/>
      <c r="BD8" s="350"/>
      <c r="BE8" s="350"/>
      <c r="BH8" s="350"/>
      <c r="BI8" s="350"/>
      <c r="BJ8" s="350"/>
      <c r="BK8" s="350"/>
      <c r="BL8" s="350"/>
      <c r="BM8" s="350"/>
      <c r="BN8" s="350"/>
      <c r="BO8" s="350"/>
      <c r="BP8" s="350"/>
      <c r="BQ8" s="350"/>
      <c r="BR8" s="350"/>
      <c r="BS8" s="350"/>
      <c r="BT8" s="350"/>
      <c r="BU8" s="350"/>
      <c r="BV8" s="350"/>
      <c r="BW8" s="350"/>
    </row>
    <row r="9" spans="1:75" s="4" customFormat="1" ht="15.95" customHeight="1" x14ac:dyDescent="0.25">
      <c r="A9" s="32"/>
      <c r="C9" s="343" t="str">
        <f>IF('Info General'!C27:E27&lt;&gt;"",'Info General'!C27:E27,"")</f>
        <v>HU-004</v>
      </c>
      <c r="D9" s="343"/>
      <c r="E9" s="343"/>
      <c r="F9" s="350"/>
      <c r="G9" s="350"/>
      <c r="H9" s="350"/>
      <c r="I9" s="350"/>
      <c r="J9" s="350"/>
      <c r="K9" s="350"/>
      <c r="L9" s="350"/>
      <c r="M9" s="350"/>
      <c r="N9" s="350"/>
      <c r="O9" s="350"/>
      <c r="P9" s="350"/>
      <c r="Q9" s="350"/>
      <c r="R9" s="350"/>
      <c r="S9" s="350"/>
      <c r="T9" s="350"/>
      <c r="U9" s="350"/>
      <c r="V9" s="350"/>
      <c r="W9" s="350"/>
      <c r="X9" s="350"/>
      <c r="Y9" s="350"/>
      <c r="AB9" s="350"/>
      <c r="AC9" s="350"/>
      <c r="AD9" s="350"/>
      <c r="AE9" s="350"/>
      <c r="AF9" s="350"/>
      <c r="AG9" s="350"/>
      <c r="AH9" s="350"/>
      <c r="AI9" s="350"/>
      <c r="AJ9" s="350"/>
      <c r="AK9" s="350"/>
      <c r="AL9" s="350"/>
      <c r="AM9" s="350"/>
      <c r="AP9" s="350"/>
      <c r="AQ9" s="350"/>
      <c r="AR9" s="350"/>
      <c r="AS9" s="350"/>
      <c r="AT9" s="350"/>
      <c r="AU9" s="350"/>
      <c r="AV9" s="350"/>
      <c r="AW9" s="350"/>
      <c r="AX9" s="350"/>
      <c r="AY9" s="350"/>
      <c r="AZ9" s="350"/>
      <c r="BA9" s="350"/>
      <c r="BB9" s="350"/>
      <c r="BC9" s="350"/>
      <c r="BD9" s="350"/>
      <c r="BE9" s="350"/>
      <c r="BH9" s="350"/>
      <c r="BI9" s="350"/>
      <c r="BJ9" s="350"/>
      <c r="BK9" s="350"/>
      <c r="BL9" s="350"/>
      <c r="BM9" s="350"/>
      <c r="BN9" s="350"/>
      <c r="BO9" s="350"/>
      <c r="BP9" s="350"/>
      <c r="BQ9" s="350"/>
      <c r="BR9" s="350"/>
      <c r="BS9" s="350"/>
      <c r="BT9" s="350"/>
      <c r="BU9" s="350"/>
      <c r="BV9" s="350"/>
      <c r="BW9" s="350"/>
    </row>
    <row r="10" spans="1:75" ht="3.75" customHeight="1" x14ac:dyDescent="0.2">
      <c r="A10" s="7" t="s">
        <v>161</v>
      </c>
      <c r="C10" s="359"/>
      <c r="D10" s="360"/>
      <c r="E10" s="360"/>
      <c r="F10" s="360"/>
      <c r="G10" s="360"/>
      <c r="H10" s="360"/>
      <c r="I10" s="360"/>
      <c r="J10" s="360"/>
      <c r="K10" s="360"/>
      <c r="L10" s="360"/>
      <c r="M10" s="360"/>
      <c r="N10" s="360"/>
      <c r="O10" s="360"/>
      <c r="P10" s="360"/>
      <c r="Q10" s="360"/>
      <c r="R10" s="360"/>
      <c r="S10" s="360"/>
      <c r="T10" s="360"/>
      <c r="U10" s="360"/>
      <c r="V10" s="360"/>
      <c r="W10" s="360"/>
      <c r="X10" s="360"/>
      <c r="Y10" s="361"/>
      <c r="Z10" s="4"/>
      <c r="AA10" s="4"/>
      <c r="AB10" s="348"/>
      <c r="AC10" s="348"/>
      <c r="AD10" s="348"/>
      <c r="AE10" s="348"/>
      <c r="AF10" s="348"/>
      <c r="AG10" s="348"/>
      <c r="AH10" s="348"/>
      <c r="AI10" s="348"/>
      <c r="AJ10" s="348"/>
      <c r="AK10" s="348"/>
      <c r="AL10" s="348"/>
      <c r="AM10" s="348"/>
      <c r="AN10" s="4"/>
      <c r="AO10" s="4"/>
      <c r="AP10" s="200"/>
      <c r="AQ10" s="200"/>
      <c r="AR10" s="200"/>
      <c r="AS10" s="200"/>
      <c r="AT10" s="200"/>
      <c r="AU10" s="200"/>
      <c r="AV10" s="200"/>
      <c r="AW10" s="200"/>
      <c r="AX10" s="200"/>
      <c r="AY10" s="200"/>
      <c r="AZ10" s="200"/>
      <c r="BA10" s="200"/>
      <c r="BB10" s="200"/>
      <c r="BC10" s="200"/>
      <c r="BD10" s="200"/>
      <c r="BE10" s="200"/>
      <c r="BF10" s="4"/>
      <c r="BG10" s="4"/>
      <c r="BH10" s="348"/>
      <c r="BI10" s="348"/>
      <c r="BJ10" s="348"/>
      <c r="BK10" s="348"/>
      <c r="BL10" s="348"/>
      <c r="BM10" s="348"/>
      <c r="BN10" s="348"/>
      <c r="BO10" s="348"/>
      <c r="BP10" s="348"/>
      <c r="BQ10" s="348"/>
      <c r="BR10" s="348"/>
      <c r="BS10" s="348"/>
      <c r="BT10" s="348"/>
      <c r="BU10" s="348"/>
      <c r="BV10" s="348"/>
      <c r="BW10" s="348"/>
    </row>
    <row r="11" spans="1:75" ht="15.75" customHeight="1" x14ac:dyDescent="0.2">
      <c r="C11" s="356" t="s">
        <v>210</v>
      </c>
      <c r="D11" s="357"/>
      <c r="E11" s="358"/>
      <c r="F11" s="356">
        <f>SUM($F5:$F10)</f>
        <v>0</v>
      </c>
      <c r="G11" s="357"/>
      <c r="H11" s="357"/>
      <c r="I11" s="358"/>
      <c r="J11" s="356">
        <f>SUM($J5:$J10)</f>
        <v>0</v>
      </c>
      <c r="K11" s="357"/>
      <c r="L11" s="357"/>
      <c r="M11" s="358"/>
      <c r="N11" s="356">
        <f>SUM($N5:$N10)</f>
        <v>0</v>
      </c>
      <c r="O11" s="357"/>
      <c r="P11" s="357"/>
      <c r="Q11" s="358"/>
      <c r="R11" s="356">
        <f>SUM($R5:$R10)</f>
        <v>0</v>
      </c>
      <c r="S11" s="357"/>
      <c r="T11" s="357"/>
      <c r="U11" s="358"/>
      <c r="V11" s="356">
        <f>SUM($V5:$V10)</f>
        <v>0</v>
      </c>
      <c r="W11" s="357"/>
      <c r="X11" s="357"/>
      <c r="Y11" s="358"/>
      <c r="Z11" s="4"/>
      <c r="AA11" s="4"/>
      <c r="AB11" s="343">
        <f>SUM(AB5:AB10)</f>
        <v>0</v>
      </c>
      <c r="AC11" s="343"/>
      <c r="AD11" s="343"/>
      <c r="AE11" s="343"/>
      <c r="AF11" s="343">
        <f>SUM(AF5:AF10)</f>
        <v>0</v>
      </c>
      <c r="AG11" s="343"/>
      <c r="AH11" s="343"/>
      <c r="AI11" s="343"/>
      <c r="AJ11" s="343">
        <f>SUM(AJ5:AJ10)</f>
        <v>0</v>
      </c>
      <c r="AK11" s="343"/>
      <c r="AL11" s="343"/>
      <c r="AM11" s="343"/>
      <c r="AN11" s="4"/>
      <c r="AO11" s="4"/>
      <c r="AP11" s="340">
        <f>SUM(AP5:AP10)</f>
        <v>0</v>
      </c>
      <c r="AQ11" s="340"/>
      <c r="AR11" s="340"/>
      <c r="AS11" s="340"/>
      <c r="AT11" s="340">
        <f>SUM(AT5:AT10)</f>
        <v>0</v>
      </c>
      <c r="AU11" s="340"/>
      <c r="AV11" s="340"/>
      <c r="AW11" s="340"/>
      <c r="AX11" s="340">
        <f>SUM(AX5:AX10)</f>
        <v>0</v>
      </c>
      <c r="AY11" s="340"/>
      <c r="AZ11" s="340"/>
      <c r="BA11" s="340"/>
      <c r="BB11" s="340">
        <f>SUM(BB5:BB10)</f>
        <v>0</v>
      </c>
      <c r="BC11" s="340"/>
      <c r="BD11" s="340"/>
      <c r="BE11" s="340"/>
      <c r="BF11" s="4"/>
      <c r="BG11" s="4"/>
      <c r="BH11" s="343">
        <f>SUM(BH5:BH10)</f>
        <v>0</v>
      </c>
      <c r="BI11" s="343"/>
      <c r="BJ11" s="343"/>
      <c r="BK11" s="343"/>
      <c r="BL11" s="343">
        <f>SUM(BL5:BL10)</f>
        <v>0</v>
      </c>
      <c r="BM11" s="343"/>
      <c r="BN11" s="343"/>
      <c r="BO11" s="343"/>
      <c r="BP11" s="343">
        <f>SUM(BP5:BP10)</f>
        <v>0</v>
      </c>
      <c r="BQ11" s="343"/>
      <c r="BR11" s="343"/>
      <c r="BS11" s="343"/>
      <c r="BT11" s="343">
        <f>SUM(BT5:BT10)</f>
        <v>0</v>
      </c>
      <c r="BU11" s="343"/>
      <c r="BV11" s="343"/>
      <c r="BW11" s="343"/>
    </row>
    <row r="12" spans="1:75" x14ac:dyDescent="0.2">
      <c r="C12" s="4"/>
      <c r="D12" s="4"/>
      <c r="E12" s="4"/>
      <c r="F12" s="4"/>
      <c r="G12" s="4"/>
      <c r="H12" s="4"/>
      <c r="I12" s="4"/>
      <c r="J12" s="4"/>
      <c r="K12" s="4"/>
      <c r="L12" s="4"/>
      <c r="M12" s="4"/>
      <c r="N12" s="4"/>
      <c r="O12" s="4"/>
      <c r="P12" s="4"/>
      <c r="Q12" s="4"/>
      <c r="R12" s="4"/>
      <c r="S12" s="9"/>
      <c r="T12" s="9"/>
      <c r="U12" s="9"/>
      <c r="W12" s="4"/>
      <c r="X12" s="4"/>
      <c r="Y12" s="4"/>
      <c r="Z12" s="4"/>
      <c r="AA12" s="4"/>
      <c r="AB12" s="4"/>
      <c r="AC12" s="4"/>
      <c r="AD12" s="4"/>
      <c r="AE12" s="4"/>
      <c r="AF12" s="4"/>
      <c r="AG12" s="4"/>
      <c r="AH12" s="4"/>
      <c r="AI12" s="4"/>
      <c r="AJ12" s="4"/>
      <c r="AK12" s="4"/>
      <c r="AL12" s="4"/>
      <c r="AM12" s="4"/>
      <c r="AN12" s="4"/>
      <c r="AO12" s="4"/>
      <c r="AQ12" s="4"/>
      <c r="AR12" s="4"/>
      <c r="AS12" s="4"/>
      <c r="AT12" s="4"/>
      <c r="AU12" s="4"/>
      <c r="AV12" s="4"/>
      <c r="AW12" s="4"/>
      <c r="AX12" s="4"/>
      <c r="AY12" s="4"/>
      <c r="AZ12" s="4"/>
      <c r="BA12" s="4"/>
      <c r="BB12" s="4"/>
      <c r="BC12" s="4"/>
      <c r="BD12" s="4"/>
      <c r="BE12" s="4"/>
      <c r="BF12" s="4"/>
      <c r="BG12" s="4"/>
      <c r="BH12" s="4"/>
      <c r="BI12" s="4"/>
      <c r="BJ12" s="4"/>
    </row>
    <row r="13" spans="1:75" x14ac:dyDescent="0.2">
      <c r="C13" s="149"/>
      <c r="D13" s="149"/>
      <c r="E13" s="149"/>
      <c r="F13" s="149"/>
      <c r="G13" s="149"/>
      <c r="H13" s="149"/>
      <c r="I13" s="149"/>
      <c r="J13" s="149"/>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49"/>
      <c r="AP13" s="149"/>
      <c r="AQ13" s="149"/>
      <c r="AR13" s="149"/>
      <c r="AS13" s="149"/>
      <c r="AT13" s="149"/>
      <c r="AU13" s="149"/>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row>
    <row r="14" spans="1:75" x14ac:dyDescent="0.2">
      <c r="C14" s="4"/>
      <c r="D14" s="4"/>
      <c r="E14" s="4"/>
      <c r="F14" s="4"/>
      <c r="G14" s="4"/>
      <c r="H14" s="4"/>
      <c r="I14" s="4"/>
      <c r="J14" s="4"/>
      <c r="K14" s="4"/>
      <c r="L14" s="4"/>
      <c r="M14" s="4"/>
      <c r="N14" s="4"/>
      <c r="O14" s="4"/>
      <c r="P14" s="4"/>
      <c r="Q14" s="4"/>
      <c r="R14" s="4"/>
      <c r="S14" s="8"/>
      <c r="T14" s="8"/>
      <c r="U14" s="8"/>
      <c r="W14" s="4"/>
      <c r="X14" s="4"/>
      <c r="Y14" s="4"/>
      <c r="Z14" s="4"/>
      <c r="AA14" s="4"/>
      <c r="AB14" s="4"/>
      <c r="AC14" s="4"/>
      <c r="AD14" s="4"/>
      <c r="AE14" s="4"/>
      <c r="AF14" s="4"/>
      <c r="AG14" s="4"/>
      <c r="AH14" s="4"/>
      <c r="AI14" s="4"/>
      <c r="AJ14" s="4"/>
      <c r="AK14" s="4"/>
      <c r="AL14" s="4"/>
      <c r="AM14" s="4"/>
      <c r="AN14" s="4"/>
      <c r="AO14" s="4"/>
      <c r="AQ14" s="4"/>
      <c r="AR14" s="4"/>
      <c r="AS14" s="4"/>
      <c r="AT14" s="4"/>
      <c r="AU14" s="4"/>
      <c r="AV14" s="4"/>
      <c r="AW14" s="4"/>
      <c r="AX14" s="4"/>
      <c r="AY14" s="4"/>
      <c r="AZ14" s="4"/>
      <c r="BA14" s="4"/>
      <c r="BB14" s="4"/>
      <c r="BC14" s="4"/>
      <c r="BD14" s="4"/>
      <c r="BE14" s="4"/>
      <c r="BF14" s="4"/>
      <c r="BG14" s="4"/>
      <c r="BH14" s="4"/>
      <c r="BI14" s="4"/>
      <c r="BJ14" s="4"/>
    </row>
    <row r="15" spans="1:75" x14ac:dyDescent="0.2">
      <c r="C15" s="4"/>
      <c r="D15" s="4"/>
      <c r="E15" s="4"/>
      <c r="F15" s="4"/>
      <c r="G15" s="4"/>
      <c r="H15" s="4"/>
      <c r="I15" s="4"/>
      <c r="J15" s="4"/>
      <c r="K15" s="4"/>
      <c r="L15" s="4"/>
      <c r="M15" s="4"/>
      <c r="N15" s="4"/>
      <c r="O15" s="4"/>
      <c r="P15" s="4"/>
      <c r="Q15" s="4"/>
      <c r="R15" s="4"/>
      <c r="S15" s="8"/>
      <c r="T15" s="8"/>
      <c r="U15" s="8"/>
      <c r="W15" s="4"/>
      <c r="X15" s="4"/>
      <c r="Y15" s="4"/>
      <c r="Z15" s="4"/>
      <c r="AA15" s="4"/>
      <c r="AB15" s="4"/>
      <c r="AC15" s="4"/>
      <c r="AD15" s="4"/>
      <c r="AE15" s="4"/>
      <c r="AF15" s="4"/>
      <c r="AG15" s="4"/>
      <c r="AH15" s="4"/>
      <c r="AI15" s="4"/>
      <c r="AJ15" s="4"/>
      <c r="AK15" s="4"/>
      <c r="AL15" s="4"/>
      <c r="AM15" s="4"/>
      <c r="AN15" s="4"/>
      <c r="AO15" s="4"/>
      <c r="AQ15" s="4"/>
      <c r="AR15" s="4"/>
      <c r="AS15" s="4"/>
      <c r="AT15" s="4"/>
      <c r="AU15" s="4"/>
      <c r="AV15" s="4"/>
      <c r="AW15" s="4"/>
      <c r="AX15" s="4"/>
      <c r="AY15" s="4"/>
      <c r="AZ15" s="4"/>
      <c r="BA15" s="4"/>
      <c r="BB15" s="4"/>
      <c r="BC15" s="4"/>
      <c r="BD15" s="4"/>
      <c r="BE15" s="4"/>
      <c r="BF15" s="4"/>
      <c r="BG15" s="4"/>
      <c r="BH15" s="4"/>
      <c r="BI15" s="4"/>
      <c r="BJ15" s="4"/>
    </row>
    <row r="16" spans="1:75" x14ac:dyDescent="0.2">
      <c r="C16" s="4"/>
      <c r="D16" s="4"/>
      <c r="E16" s="4"/>
      <c r="F16" s="4"/>
      <c r="G16" s="4"/>
      <c r="H16" s="4"/>
      <c r="I16" s="4"/>
      <c r="J16" s="4"/>
      <c r="K16" s="4"/>
      <c r="L16" s="4"/>
      <c r="M16" s="4"/>
      <c r="N16" s="4"/>
      <c r="O16" s="4"/>
      <c r="P16" s="4"/>
      <c r="Q16" s="4"/>
      <c r="R16" s="4"/>
      <c r="S16" s="4"/>
      <c r="T16" s="4"/>
      <c r="U16" s="4"/>
      <c r="W16" s="4"/>
      <c r="X16" s="4"/>
      <c r="Y16" s="4"/>
      <c r="Z16" s="4"/>
      <c r="AA16" s="4"/>
      <c r="AB16" s="4"/>
      <c r="AC16" s="4"/>
      <c r="AD16" s="4"/>
      <c r="AE16" s="4"/>
      <c r="AF16" s="4"/>
      <c r="AG16" s="4"/>
      <c r="AH16" s="4"/>
      <c r="AI16" s="4"/>
      <c r="AJ16" s="4"/>
      <c r="AK16" s="4"/>
      <c r="AL16" s="4"/>
      <c r="AM16" s="4"/>
      <c r="AN16" s="4"/>
      <c r="AO16" s="4"/>
      <c r="AQ16" s="4"/>
      <c r="AR16" s="4"/>
      <c r="AS16" s="4"/>
      <c r="AT16" s="4"/>
      <c r="AU16" s="4"/>
      <c r="AV16" s="4"/>
      <c r="AW16" s="4"/>
      <c r="AX16" s="4"/>
      <c r="AY16" s="4"/>
      <c r="AZ16" s="4"/>
      <c r="BA16" s="4"/>
      <c r="BB16" s="4"/>
      <c r="BC16" s="4"/>
      <c r="BD16" s="4"/>
      <c r="BE16" s="4"/>
      <c r="BF16" s="4"/>
      <c r="BG16" s="4"/>
      <c r="BH16" s="4"/>
      <c r="BI16" s="4"/>
      <c r="BJ16" s="4"/>
    </row>
    <row r="17" spans="3:62" x14ac:dyDescent="0.2">
      <c r="C17" s="3"/>
    </row>
    <row r="18" spans="3:62" x14ac:dyDescent="0.2">
      <c r="C18" s="20"/>
      <c r="D18" s="20"/>
      <c r="E18" s="20"/>
      <c r="F18" s="20"/>
      <c r="G18" s="20"/>
      <c r="H18" s="20"/>
      <c r="I18" s="20"/>
      <c r="J18" s="20"/>
      <c r="K18" s="20"/>
      <c r="L18" s="20"/>
      <c r="M18" s="20"/>
      <c r="N18" s="20"/>
      <c r="O18" s="20"/>
      <c r="P18" s="20"/>
    </row>
    <row r="19" spans="3:62" x14ac:dyDescent="0.2">
      <c r="AS19" s="7"/>
      <c r="AT19" s="7"/>
      <c r="AU19" s="7"/>
      <c r="AV19" s="7"/>
      <c r="AW19" s="7"/>
      <c r="AX19" s="7"/>
      <c r="AY19" s="7"/>
      <c r="AZ19" s="7"/>
      <c r="BA19" s="7"/>
      <c r="BB19" s="6"/>
      <c r="BC19" s="6"/>
      <c r="BD19" s="6"/>
      <c r="BE19" s="6"/>
      <c r="BF19" s="6"/>
      <c r="BG19" s="6"/>
      <c r="BH19" s="6"/>
      <c r="BI19" s="6"/>
      <c r="BJ19" s="6"/>
    </row>
    <row r="25" spans="3:62" ht="12.75" hidden="1" customHeight="1" x14ac:dyDescent="0.2"/>
    <row r="26" spans="3:62" ht="12.75" hidden="1" customHeight="1" x14ac:dyDescent="0.2"/>
    <row r="27" spans="3:62" x14ac:dyDescent="0.2">
      <c r="AS27" s="5"/>
      <c r="AT27" s="5"/>
      <c r="AU27" s="5"/>
      <c r="AV27" s="5"/>
      <c r="AW27" s="5"/>
      <c r="AX27" s="5"/>
      <c r="AY27" s="5"/>
      <c r="AZ27" s="5"/>
      <c r="BA27" s="5"/>
      <c r="BB27" s="5"/>
      <c r="BC27" s="5"/>
      <c r="BD27" s="5"/>
      <c r="BE27" s="5"/>
      <c r="BF27" s="5"/>
      <c r="BG27" s="5"/>
    </row>
    <row r="28" spans="3:62" x14ac:dyDescent="0.2">
      <c r="AS28" s="5"/>
      <c r="AT28" s="5"/>
      <c r="AU28" s="5"/>
      <c r="AV28" s="5"/>
      <c r="AW28" s="5"/>
      <c r="AX28" s="5"/>
      <c r="AY28" s="5"/>
      <c r="AZ28" s="5"/>
      <c r="BA28" s="5"/>
      <c r="BB28" s="5"/>
      <c r="BC28" s="5"/>
      <c r="BD28" s="5"/>
      <c r="BE28" s="5"/>
      <c r="BF28" s="5"/>
      <c r="BG28" s="5"/>
    </row>
    <row r="29" spans="3:62" x14ac:dyDescent="0.2">
      <c r="AS29" s="5"/>
      <c r="AT29" s="5"/>
      <c r="AU29" s="5"/>
      <c r="AV29" s="5"/>
      <c r="AW29" s="5"/>
      <c r="AX29" s="5"/>
      <c r="AY29" s="5"/>
      <c r="AZ29" s="5"/>
      <c r="BA29" s="5"/>
      <c r="BB29" s="5"/>
      <c r="BC29" s="5"/>
      <c r="BD29" s="5"/>
      <c r="BE29" s="5"/>
      <c r="BF29" s="5"/>
      <c r="BG29" s="5"/>
    </row>
    <row r="30" spans="3:62" x14ac:dyDescent="0.2">
      <c r="AS30" s="5"/>
      <c r="AT30" s="5"/>
      <c r="AU30" s="5"/>
      <c r="AV30" s="5"/>
      <c r="AW30" s="5"/>
      <c r="AX30" s="5"/>
      <c r="AY30" s="5"/>
      <c r="AZ30" s="5"/>
      <c r="BA30" s="5"/>
      <c r="BB30" s="5"/>
      <c r="BC30" s="5"/>
      <c r="BD30" s="5"/>
      <c r="BE30" s="5"/>
      <c r="BF30" s="5"/>
      <c r="BG30" s="5"/>
    </row>
    <row r="31" spans="3:62" x14ac:dyDescent="0.2">
      <c r="AS31" s="5"/>
      <c r="AT31" s="5"/>
      <c r="AU31" s="5"/>
      <c r="AV31" s="5"/>
      <c r="AW31" s="5"/>
      <c r="AX31" s="5"/>
      <c r="AY31" s="5"/>
      <c r="AZ31" s="5"/>
      <c r="BA31" s="5"/>
    </row>
    <row r="32" spans="3:62" ht="12.75" hidden="1" customHeight="1" x14ac:dyDescent="0.2"/>
  </sheetData>
  <sheetProtection algorithmName="SHA-512" hashValue="WDKzrpWeY6yA49JX9ckVhDu7j8Wo8nHBSsXCbfIMIVRl0ty1NG5o/IMscx3dw0bv0dCnwwUI7XKywBA9HP/Wzw==" saltValue="FjiJiti/QPwNiIWaukh4jQ==" spinCount="100000" sheet="1" objects="1" scenarios="1" formatCells="0" formatRows="0" selectLockedCells="1" autoFilter="0"/>
  <mergeCells count="112">
    <mergeCell ref="AT9:AW9"/>
    <mergeCell ref="AX9:BA9"/>
    <mergeCell ref="BB9:BE9"/>
    <mergeCell ref="BH9:BK9"/>
    <mergeCell ref="V9:Y9"/>
    <mergeCell ref="AB9:AE9"/>
    <mergeCell ref="AF9:AI9"/>
    <mergeCell ref="AJ9:AM9"/>
    <mergeCell ref="AP9:AS9"/>
    <mergeCell ref="C9:E9"/>
    <mergeCell ref="F9:I9"/>
    <mergeCell ref="J9:M9"/>
    <mergeCell ref="N9:Q9"/>
    <mergeCell ref="R9:U9"/>
    <mergeCell ref="BP5:BS5"/>
    <mergeCell ref="BH10:BW10"/>
    <mergeCell ref="BT5:BW5"/>
    <mergeCell ref="BH5:BK5"/>
    <mergeCell ref="BT6:BW6"/>
    <mergeCell ref="BH6:BK6"/>
    <mergeCell ref="BL6:BO6"/>
    <mergeCell ref="BL5:BO5"/>
    <mergeCell ref="BP7:BS7"/>
    <mergeCell ref="BT7:BW7"/>
    <mergeCell ref="BP8:BS8"/>
    <mergeCell ref="BT8:BW8"/>
    <mergeCell ref="BP9:BS9"/>
    <mergeCell ref="BT9:BW9"/>
    <mergeCell ref="BL9:BO9"/>
    <mergeCell ref="C10:Y10"/>
    <mergeCell ref="AB10:AM10"/>
    <mergeCell ref="AP10:BE10"/>
    <mergeCell ref="N7:Q7"/>
    <mergeCell ref="C11:E11"/>
    <mergeCell ref="F11:I11"/>
    <mergeCell ref="V11:Y11"/>
    <mergeCell ref="J11:M11"/>
    <mergeCell ref="N11:Q11"/>
    <mergeCell ref="R11:U11"/>
    <mergeCell ref="C13:BW13"/>
    <mergeCell ref="BP11:BS11"/>
    <mergeCell ref="BT11:BW11"/>
    <mergeCell ref="BH11:BK11"/>
    <mergeCell ref="BL11:BO11"/>
    <mergeCell ref="AT11:AW11"/>
    <mergeCell ref="AX11:BA11"/>
    <mergeCell ref="BB11:BE11"/>
    <mergeCell ref="AB11:AE11"/>
    <mergeCell ref="AF11:AI11"/>
    <mergeCell ref="AJ11:AM11"/>
    <mergeCell ref="AP11:AS11"/>
    <mergeCell ref="AB4:AM4"/>
    <mergeCell ref="AP4:BE4"/>
    <mergeCell ref="C2:O2"/>
    <mergeCell ref="BP6:BS6"/>
    <mergeCell ref="BH4:BW4"/>
    <mergeCell ref="C6:E6"/>
    <mergeCell ref="F6:I6"/>
    <mergeCell ref="J6:M6"/>
    <mergeCell ref="N6:Q6"/>
    <mergeCell ref="R6:U6"/>
    <mergeCell ref="C5:E5"/>
    <mergeCell ref="C4:Y4"/>
    <mergeCell ref="AJ6:AM6"/>
    <mergeCell ref="AX5:BA5"/>
    <mergeCell ref="BB5:BE5"/>
    <mergeCell ref="AX6:BA6"/>
    <mergeCell ref="F5:I5"/>
    <mergeCell ref="J5:M5"/>
    <mergeCell ref="N5:Q5"/>
    <mergeCell ref="R5:U5"/>
    <mergeCell ref="AB6:AE6"/>
    <mergeCell ref="V6:Y6"/>
    <mergeCell ref="AB5:AE5"/>
    <mergeCell ref="AF5:AI5"/>
    <mergeCell ref="AJ7:AM7"/>
    <mergeCell ref="BB6:BE6"/>
    <mergeCell ref="AP5:AS5"/>
    <mergeCell ref="AT5:AW5"/>
    <mergeCell ref="AP6:AS6"/>
    <mergeCell ref="AT6:AW6"/>
    <mergeCell ref="AJ5:AM5"/>
    <mergeCell ref="V5:Y5"/>
    <mergeCell ref="AF6:AI6"/>
    <mergeCell ref="AP7:AS7"/>
    <mergeCell ref="AT7:AW7"/>
    <mergeCell ref="AX7:BA7"/>
    <mergeCell ref="BB7:BE7"/>
    <mergeCell ref="BH7:BK7"/>
    <mergeCell ref="BL7:BO7"/>
    <mergeCell ref="C8:E8"/>
    <mergeCell ref="F8:I8"/>
    <mergeCell ref="J8:M8"/>
    <mergeCell ref="N8:Q8"/>
    <mergeCell ref="R8:U8"/>
    <mergeCell ref="V8:Y8"/>
    <mergeCell ref="AB8:AE8"/>
    <mergeCell ref="AF8:AI8"/>
    <mergeCell ref="AJ8:AM8"/>
    <mergeCell ref="AP8:AS8"/>
    <mergeCell ref="AT8:AW8"/>
    <mergeCell ref="AX8:BA8"/>
    <mergeCell ref="BB8:BE8"/>
    <mergeCell ref="BH8:BK8"/>
    <mergeCell ref="BL8:BO8"/>
    <mergeCell ref="C7:E7"/>
    <mergeCell ref="F7:I7"/>
    <mergeCell ref="J7:M7"/>
    <mergeCell ref="R7:U7"/>
    <mergeCell ref="V7:Y7"/>
    <mergeCell ref="AB7:AE7"/>
    <mergeCell ref="AF7:AI7"/>
  </mergeCell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9" tint="0.39997558519241921"/>
  </sheetPr>
  <dimension ref="A1:BQ59"/>
  <sheetViews>
    <sheetView showGridLines="0" topLeftCell="D1" zoomScale="96" zoomScaleNormal="96" workbookViewId="0">
      <selection activeCell="Q36" sqref="Q36:S36"/>
    </sheetView>
  </sheetViews>
  <sheetFormatPr baseColWidth="10" defaultColWidth="2.7109375" defaultRowHeight="12.75" x14ac:dyDescent="0.2"/>
  <cols>
    <col min="1" max="1" width="1" style="7" customWidth="1"/>
    <col min="2" max="2" width="1.85546875" style="11" customWidth="1"/>
    <col min="3" max="21" width="2.7109375" style="11"/>
    <col min="22" max="69" width="2.85546875" style="11" customWidth="1"/>
    <col min="70" max="16384" width="2.7109375" style="11"/>
  </cols>
  <sheetData>
    <row r="1" spans="1:69" ht="45.75" customHeight="1" x14ac:dyDescent="0.2"/>
    <row r="2" spans="1:69" ht="14.25" x14ac:dyDescent="0.25">
      <c r="C2" s="174" t="s">
        <v>163</v>
      </c>
      <c r="D2" s="175"/>
      <c r="E2" s="175"/>
      <c r="F2" s="175"/>
      <c r="G2" s="175"/>
      <c r="H2" s="175"/>
      <c r="I2" s="175"/>
      <c r="J2" s="175"/>
      <c r="K2" s="175"/>
      <c r="L2" s="175"/>
      <c r="M2" s="175"/>
      <c r="N2" s="175"/>
      <c r="O2" s="175"/>
      <c r="P2" s="176"/>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7"/>
      <c r="BC2" s="107"/>
      <c r="BD2" s="107"/>
      <c r="BE2" s="107"/>
      <c r="BF2" s="107"/>
      <c r="BG2" s="107"/>
      <c r="BH2" s="107"/>
      <c r="BI2" s="107"/>
      <c r="BJ2" s="107"/>
      <c r="BK2" s="107"/>
      <c r="BL2" s="107"/>
      <c r="BM2" s="107"/>
      <c r="BN2" s="107"/>
      <c r="BO2" s="107"/>
      <c r="BP2" s="107"/>
      <c r="BQ2" s="107"/>
    </row>
    <row r="3" spans="1:69" ht="14.25"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2"/>
      <c r="AV3" s="102"/>
      <c r="AW3" s="102"/>
      <c r="AX3" s="102"/>
      <c r="AY3" s="102"/>
      <c r="AZ3" s="102"/>
      <c r="BA3" s="102"/>
      <c r="BB3" s="102"/>
      <c r="BC3" s="102"/>
      <c r="BD3" s="102"/>
      <c r="BE3" s="102"/>
      <c r="BF3" s="102"/>
      <c r="BG3" s="102"/>
      <c r="BH3" s="102"/>
      <c r="BI3" s="102"/>
      <c r="BJ3" s="102"/>
      <c r="BK3" s="102"/>
      <c r="BL3" s="102"/>
      <c r="BM3" s="102"/>
      <c r="BN3" s="102"/>
      <c r="BO3" s="102"/>
      <c r="BP3" s="102"/>
      <c r="BQ3" s="102"/>
    </row>
    <row r="4" spans="1:69" ht="15" customHeight="1" x14ac:dyDescent="0.25">
      <c r="C4" s="195" t="s">
        <v>43</v>
      </c>
      <c r="D4" s="195"/>
      <c r="E4" s="195"/>
      <c r="F4" s="195"/>
      <c r="G4" s="195"/>
      <c r="H4" s="195"/>
      <c r="I4" s="195"/>
      <c r="J4" s="195"/>
      <c r="K4" s="195"/>
      <c r="L4" s="195"/>
      <c r="M4" s="195"/>
      <c r="N4" s="195"/>
      <c r="O4" s="195"/>
      <c r="P4" s="195"/>
      <c r="Q4" s="195"/>
      <c r="R4" s="195"/>
      <c r="S4" s="195"/>
      <c r="T4" s="195"/>
      <c r="U4" s="195"/>
      <c r="V4" s="195" t="s">
        <v>164</v>
      </c>
      <c r="W4" s="195"/>
      <c r="X4" s="195"/>
      <c r="Y4" s="195"/>
      <c r="Z4" s="195"/>
      <c r="AA4" s="195"/>
      <c r="AB4" s="195"/>
      <c r="AC4" s="195"/>
      <c r="AD4" s="195"/>
      <c r="AE4" s="195"/>
      <c r="AF4" s="195"/>
      <c r="AG4" s="195"/>
      <c r="AH4" s="195"/>
      <c r="AI4" s="195"/>
      <c r="AJ4" s="195"/>
      <c r="AK4" s="195"/>
      <c r="AL4" s="195"/>
      <c r="AM4" s="195"/>
      <c r="AN4" s="195"/>
      <c r="AO4" s="195"/>
      <c r="AP4" s="195"/>
      <c r="AQ4" s="195"/>
      <c r="AR4" s="195"/>
      <c r="AS4" s="195"/>
      <c r="AT4" s="195"/>
      <c r="AU4" s="195"/>
      <c r="AV4" s="195"/>
      <c r="AW4" s="195"/>
      <c r="AX4" s="195"/>
      <c r="AY4" s="195"/>
      <c r="AZ4" s="195"/>
      <c r="BA4" s="195"/>
      <c r="BB4" s="195"/>
      <c r="BC4" s="195"/>
      <c r="BD4" s="195"/>
      <c r="BE4" s="195"/>
      <c r="BF4" s="195"/>
      <c r="BG4" s="195"/>
      <c r="BH4" s="195"/>
      <c r="BI4" s="195"/>
      <c r="BJ4" s="195"/>
      <c r="BK4" s="195"/>
      <c r="BL4" s="195"/>
      <c r="BM4" s="195"/>
      <c r="BN4" s="195"/>
      <c r="BO4" s="195"/>
      <c r="BP4" s="195"/>
      <c r="BQ4" s="195"/>
    </row>
    <row r="5" spans="1:69" ht="14.25" x14ac:dyDescent="0.25">
      <c r="C5" s="183" t="s">
        <v>31</v>
      </c>
      <c r="D5" s="184"/>
      <c r="E5" s="185"/>
      <c r="F5" s="183" t="s">
        <v>155</v>
      </c>
      <c r="G5" s="184"/>
      <c r="H5" s="184"/>
      <c r="I5" s="184"/>
      <c r="J5" s="184"/>
      <c r="K5" s="184"/>
      <c r="L5" s="184"/>
      <c r="M5" s="184"/>
      <c r="N5" s="184"/>
      <c r="O5" s="184"/>
      <c r="P5" s="184"/>
      <c r="Q5" s="184"/>
      <c r="R5" s="184"/>
      <c r="S5" s="184"/>
      <c r="T5" s="184"/>
      <c r="U5" s="184"/>
      <c r="V5" s="180" t="s">
        <v>165</v>
      </c>
      <c r="W5" s="181"/>
      <c r="X5" s="181"/>
      <c r="Y5" s="181"/>
      <c r="Z5" s="181"/>
      <c r="AA5" s="181"/>
      <c r="AB5" s="181"/>
      <c r="AC5" s="181"/>
      <c r="AD5" s="181"/>
      <c r="AE5" s="181"/>
      <c r="AF5" s="181"/>
      <c r="AG5" s="181"/>
      <c r="AH5" s="181"/>
      <c r="AI5" s="181"/>
      <c r="AJ5" s="182"/>
      <c r="AK5" s="180" t="s">
        <v>261</v>
      </c>
      <c r="AL5" s="181"/>
      <c r="AM5" s="181"/>
      <c r="AN5" s="181"/>
      <c r="AO5" s="181"/>
      <c r="AP5" s="181"/>
      <c r="AQ5" s="181"/>
      <c r="AR5" s="181"/>
      <c r="AS5" s="181"/>
      <c r="AT5" s="181"/>
      <c r="AU5" s="181"/>
      <c r="AV5" s="181"/>
      <c r="AW5" s="181"/>
      <c r="AX5" s="181"/>
      <c r="AY5" s="182"/>
      <c r="AZ5" s="386" t="s">
        <v>166</v>
      </c>
      <c r="BA5" s="386"/>
      <c r="BB5" s="386"/>
      <c r="BC5" s="386"/>
      <c r="BD5" s="386"/>
      <c r="BE5" s="386"/>
      <c r="BF5" s="386"/>
      <c r="BG5" s="386"/>
      <c r="BH5" s="386"/>
      <c r="BI5" s="386"/>
      <c r="BJ5" s="386"/>
      <c r="BK5" s="386"/>
      <c r="BL5" s="386"/>
      <c r="BM5" s="386"/>
      <c r="BN5" s="386"/>
      <c r="BO5" s="386"/>
      <c r="BP5" s="386"/>
      <c r="BQ5" s="387"/>
    </row>
    <row r="6" spans="1:69" ht="14.25" x14ac:dyDescent="0.25">
      <c r="A6" s="7" t="s">
        <v>162</v>
      </c>
      <c r="C6" s="169"/>
      <c r="D6" s="170"/>
      <c r="E6" s="171"/>
      <c r="F6" s="169"/>
      <c r="G6" s="170"/>
      <c r="H6" s="170"/>
      <c r="I6" s="170"/>
      <c r="J6" s="170"/>
      <c r="K6" s="170"/>
      <c r="L6" s="170"/>
      <c r="M6" s="170"/>
      <c r="N6" s="170"/>
      <c r="O6" s="170"/>
      <c r="P6" s="170"/>
      <c r="Q6" s="170"/>
      <c r="R6" s="170"/>
      <c r="S6" s="170"/>
      <c r="T6" s="170"/>
      <c r="U6" s="170"/>
      <c r="V6" s="196" t="s">
        <v>39</v>
      </c>
      <c r="W6" s="197"/>
      <c r="X6" s="197"/>
      <c r="Y6" s="196" t="s">
        <v>23</v>
      </c>
      <c r="Z6" s="196"/>
      <c r="AA6" s="196"/>
      <c r="AB6" s="196" t="s">
        <v>24</v>
      </c>
      <c r="AC6" s="196"/>
      <c r="AD6" s="196"/>
      <c r="AE6" s="196" t="s">
        <v>40</v>
      </c>
      <c r="AF6" s="196"/>
      <c r="AG6" s="196"/>
      <c r="AH6" s="196" t="s">
        <v>41</v>
      </c>
      <c r="AI6" s="196"/>
      <c r="AJ6" s="196"/>
      <c r="AK6" s="158" t="s">
        <v>252</v>
      </c>
      <c r="AL6" s="158"/>
      <c r="AM6" s="158"/>
      <c r="AN6" s="158" t="s">
        <v>253</v>
      </c>
      <c r="AO6" s="158"/>
      <c r="AP6" s="158"/>
      <c r="AQ6" s="158" t="s">
        <v>254</v>
      </c>
      <c r="AR6" s="158"/>
      <c r="AS6" s="158"/>
      <c r="AT6" s="158" t="s">
        <v>255</v>
      </c>
      <c r="AU6" s="158"/>
      <c r="AV6" s="158"/>
      <c r="AW6" s="196" t="s">
        <v>256</v>
      </c>
      <c r="AX6" s="196"/>
      <c r="AY6" s="196"/>
      <c r="AZ6" s="390" t="s">
        <v>39</v>
      </c>
      <c r="BA6" s="197"/>
      <c r="BB6" s="197"/>
      <c r="BC6" s="196" t="s">
        <v>23</v>
      </c>
      <c r="BD6" s="196"/>
      <c r="BE6" s="196"/>
      <c r="BF6" s="196" t="s">
        <v>24</v>
      </c>
      <c r="BG6" s="196"/>
      <c r="BH6" s="196"/>
      <c r="BI6" s="196" t="s">
        <v>40</v>
      </c>
      <c r="BJ6" s="196"/>
      <c r="BK6" s="196"/>
      <c r="BL6" s="388" t="s">
        <v>245</v>
      </c>
      <c r="BM6" s="389"/>
      <c r="BN6" s="390"/>
      <c r="BO6" s="196" t="s">
        <v>167</v>
      </c>
      <c r="BP6" s="196"/>
      <c r="BQ6" s="196"/>
    </row>
    <row r="7" spans="1:69" ht="15.95" customHeight="1" x14ac:dyDescent="0.2">
      <c r="C7" s="139" t="str">
        <f>IF('Info General'!C24:E24&lt;&gt;"",'Info General'!C24:E24,"")</f>
        <v>HU-001</v>
      </c>
      <c r="D7" s="140"/>
      <c r="E7" s="141"/>
      <c r="F7" s="373" t="str">
        <f>IF('Info General'!F24:T24&lt;&gt;"",'Info General'!F24:T24,"")</f>
        <v>Acceso a la plataforma Travelocity</v>
      </c>
      <c r="G7" s="374"/>
      <c r="H7" s="374"/>
      <c r="I7" s="374"/>
      <c r="J7" s="374"/>
      <c r="K7" s="374"/>
      <c r="L7" s="374"/>
      <c r="M7" s="374"/>
      <c r="N7" s="374"/>
      <c r="O7" s="374"/>
      <c r="P7" s="374"/>
      <c r="Q7" s="374"/>
      <c r="R7" s="374"/>
      <c r="S7" s="374"/>
      <c r="T7" s="374"/>
      <c r="U7" s="374"/>
      <c r="V7" s="154">
        <f>'Tiempos Planeados'!V7</f>
        <v>0.5</v>
      </c>
      <c r="W7" s="155"/>
      <c r="X7" s="156"/>
      <c r="Y7" s="154">
        <f>'Tiempos Planeados'!Y7</f>
        <v>1</v>
      </c>
      <c r="Z7" s="155"/>
      <c r="AA7" s="156"/>
      <c r="AB7" s="154">
        <f>'Tiempos Planeados'!AB7</f>
        <v>1</v>
      </c>
      <c r="AC7" s="155"/>
      <c r="AD7" s="156"/>
      <c r="AE7" s="154">
        <f>'Tiempos Planeados'!AE7</f>
        <v>1</v>
      </c>
      <c r="AF7" s="155"/>
      <c r="AG7" s="156"/>
      <c r="AH7" s="154">
        <f>'Tiempos Planeados'!AH7</f>
        <v>3.5</v>
      </c>
      <c r="AI7" s="155"/>
      <c r="AJ7" s="156"/>
      <c r="AK7" s="367">
        <f>'Tiempos Planeados'!AK7</f>
        <v>0.68700000000000006</v>
      </c>
      <c r="AL7" s="368"/>
      <c r="AM7" s="369"/>
      <c r="AN7" s="367">
        <f>'Tiempos Planeados'!AN7</f>
        <v>1.3740000000000001</v>
      </c>
      <c r="AO7" s="368"/>
      <c r="AP7" s="369"/>
      <c r="AQ7" s="367">
        <f>'Tiempos Planeados'!AQ7</f>
        <v>1.3740000000000001</v>
      </c>
      <c r="AR7" s="368"/>
      <c r="AS7" s="369"/>
      <c r="AT7" s="367">
        <f>'Tiempos Planeados'!AT7</f>
        <v>1.3740000000000001</v>
      </c>
      <c r="AU7" s="368"/>
      <c r="AV7" s="369"/>
      <c r="AW7" s="154">
        <f>'Tiempos Planeados'!AW7</f>
        <v>4.8090000000000002</v>
      </c>
      <c r="AX7" s="155"/>
      <c r="AY7" s="156"/>
      <c r="AZ7" s="155">
        <f ca="1">IF(C7&lt;&gt;"",SUMIF($C$28:$M$7007,C7,$K$28:$M$7007),0)</f>
        <v>0.5</v>
      </c>
      <c r="BA7" s="155"/>
      <c r="BB7" s="156"/>
      <c r="BC7" s="154">
        <f ca="1">IF(C7&lt;&gt;"",SUMIF($C$28:$P$7007,C7,$N$28:$P$7007),0)</f>
        <v>0.75</v>
      </c>
      <c r="BD7" s="155"/>
      <c r="BE7" s="156"/>
      <c r="BF7" s="154">
        <f ca="1">IF(C7&lt;&gt;"",SUMIF($C$28:$S$7007,C7,$Q$28:$S$7007),0)</f>
        <v>1</v>
      </c>
      <c r="BG7" s="155"/>
      <c r="BH7" s="156"/>
      <c r="BI7" s="154">
        <f ca="1">IF(C7&lt;&gt;"",SUMIF($C$28:$V$7007,C7,$T$28:$V$7007),0)</f>
        <v>0.15</v>
      </c>
      <c r="BJ7" s="155"/>
      <c r="BK7" s="156"/>
      <c r="BL7" s="370">
        <f>$AP$21</f>
        <v>0</v>
      </c>
      <c r="BM7" s="371"/>
      <c r="BN7" s="372"/>
      <c r="BO7" s="154">
        <f t="shared" ref="BO7" ca="1" si="0">SUM(AZ7:BN7)</f>
        <v>2.4</v>
      </c>
      <c r="BP7" s="155"/>
      <c r="BQ7" s="156"/>
    </row>
    <row r="8" spans="1:69" ht="15.95" customHeight="1" x14ac:dyDescent="0.2">
      <c r="C8" s="139" t="str">
        <f>IF('Info General'!C25:E25&lt;&gt;"",'Info General'!C25:E25,"")</f>
        <v>HU-002</v>
      </c>
      <c r="D8" s="140"/>
      <c r="E8" s="141"/>
      <c r="F8" s="373" t="str">
        <f>IF('Info General'!F25:T25&lt;&gt;"",'Info General'!F25:T25,"")</f>
        <v>Busqueda de Actividades turisticas</v>
      </c>
      <c r="G8" s="374"/>
      <c r="H8" s="374"/>
      <c r="I8" s="374"/>
      <c r="J8" s="374"/>
      <c r="K8" s="374"/>
      <c r="L8" s="374"/>
      <c r="M8" s="374"/>
      <c r="N8" s="374"/>
      <c r="O8" s="374"/>
      <c r="P8" s="374"/>
      <c r="Q8" s="374"/>
      <c r="R8" s="374"/>
      <c r="S8" s="374"/>
      <c r="T8" s="374"/>
      <c r="U8" s="374"/>
      <c r="V8" s="154">
        <f>'Tiempos Planeados'!V8</f>
        <v>0.5</v>
      </c>
      <c r="W8" s="155"/>
      <c r="X8" s="156"/>
      <c r="Y8" s="154">
        <f>'Tiempos Planeados'!Y8</f>
        <v>1</v>
      </c>
      <c r="Z8" s="155"/>
      <c r="AA8" s="156"/>
      <c r="AB8" s="154">
        <f>'Tiempos Planeados'!AB8</f>
        <v>1.5</v>
      </c>
      <c r="AC8" s="155"/>
      <c r="AD8" s="156"/>
      <c r="AE8" s="154">
        <f>'Tiempos Planeados'!AE8</f>
        <v>1</v>
      </c>
      <c r="AF8" s="155"/>
      <c r="AG8" s="156"/>
      <c r="AH8" s="154">
        <f>'Tiempos Planeados'!AH8</f>
        <v>4</v>
      </c>
      <c r="AI8" s="155"/>
      <c r="AJ8" s="156"/>
      <c r="AK8" s="367">
        <f>'Tiempos Planeados'!AK8</f>
        <v>0.68700000000000006</v>
      </c>
      <c r="AL8" s="368"/>
      <c r="AM8" s="369"/>
      <c r="AN8" s="367">
        <f>'Tiempos Planeados'!AN8</f>
        <v>1.3740000000000001</v>
      </c>
      <c r="AO8" s="368"/>
      <c r="AP8" s="369"/>
      <c r="AQ8" s="367">
        <f>'Tiempos Planeados'!AQ8</f>
        <v>2.0609999999999999</v>
      </c>
      <c r="AR8" s="368"/>
      <c r="AS8" s="369"/>
      <c r="AT8" s="367">
        <f>'Tiempos Planeados'!AT8</f>
        <v>1.3740000000000001</v>
      </c>
      <c r="AU8" s="368"/>
      <c r="AV8" s="369"/>
      <c r="AW8" s="154">
        <f>'Tiempos Planeados'!AW8</f>
        <v>5.4960000000000004</v>
      </c>
      <c r="AX8" s="155"/>
      <c r="AY8" s="156"/>
      <c r="AZ8" s="155">
        <f ca="1">IF(C8&lt;&gt;"",SUMIF($C$28:$M$7007,C8,$K$28:$M$7007),0)</f>
        <v>0.75</v>
      </c>
      <c r="BA8" s="155"/>
      <c r="BB8" s="156"/>
      <c r="BC8" s="154">
        <f ca="1">IF(C8&lt;&gt;"",SUMIF($C$28:$P$7007,C8,$N$28:$P$7007),0)</f>
        <v>1.5</v>
      </c>
      <c r="BD8" s="155"/>
      <c r="BE8" s="156"/>
      <c r="BF8" s="154">
        <f ca="1">IF(C8&lt;&gt;"",SUMIF($C$28:$S$7007,C8,$Q$28:$S$7007),0)</f>
        <v>1</v>
      </c>
      <c r="BG8" s="155"/>
      <c r="BH8" s="156"/>
      <c r="BI8" s="154">
        <f ca="1">IF(C8&lt;&gt;"",SUMIF($C$28:$V$7007,C8,$T$28:$V$7007),0)</f>
        <v>0.15</v>
      </c>
      <c r="BJ8" s="155"/>
      <c r="BK8" s="156"/>
      <c r="BL8" s="370">
        <f>$AP$21</f>
        <v>0</v>
      </c>
      <c r="BM8" s="371"/>
      <c r="BN8" s="372"/>
      <c r="BO8" s="154">
        <f t="shared" ref="BO8" ca="1" si="1">SUM(AZ8:BN8)</f>
        <v>3.4</v>
      </c>
      <c r="BP8" s="155"/>
      <c r="BQ8" s="156"/>
    </row>
    <row r="9" spans="1:69" ht="15.95" customHeight="1" x14ac:dyDescent="0.2">
      <c r="C9" s="139" t="str">
        <f>IF('Info General'!C26:E26&lt;&gt;"",'Info General'!C26:E26,"")</f>
        <v>HU-003</v>
      </c>
      <c r="D9" s="140"/>
      <c r="E9" s="141"/>
      <c r="F9" s="373" t="str">
        <f>IF('Info General'!F26:T26&lt;&gt;"",'Info General'!F26:T26,"")</f>
        <v>Reserva de autos</v>
      </c>
      <c r="G9" s="374"/>
      <c r="H9" s="374"/>
      <c r="I9" s="374"/>
      <c r="J9" s="374"/>
      <c r="K9" s="374"/>
      <c r="L9" s="374"/>
      <c r="M9" s="374"/>
      <c r="N9" s="374"/>
      <c r="O9" s="374"/>
      <c r="P9" s="374"/>
      <c r="Q9" s="374"/>
      <c r="R9" s="374"/>
      <c r="S9" s="374"/>
      <c r="T9" s="374"/>
      <c r="U9" s="374"/>
      <c r="V9" s="154">
        <f>'Tiempos Planeados'!V9</f>
        <v>0.5</v>
      </c>
      <c r="W9" s="155"/>
      <c r="X9" s="156"/>
      <c r="Y9" s="154">
        <f>'Tiempos Planeados'!Y9</f>
        <v>1.5</v>
      </c>
      <c r="Z9" s="155"/>
      <c r="AA9" s="156"/>
      <c r="AB9" s="154">
        <f>'Tiempos Planeados'!AB9</f>
        <v>2</v>
      </c>
      <c r="AC9" s="155"/>
      <c r="AD9" s="156"/>
      <c r="AE9" s="154">
        <f>'Tiempos Planeados'!AE9</f>
        <v>1</v>
      </c>
      <c r="AF9" s="155"/>
      <c r="AG9" s="156"/>
      <c r="AH9" s="154">
        <f>'Tiempos Planeados'!AH9</f>
        <v>5</v>
      </c>
      <c r="AI9" s="155"/>
      <c r="AJ9" s="156"/>
      <c r="AK9" s="367">
        <f>'Tiempos Planeados'!AK9</f>
        <v>0.68700000000000006</v>
      </c>
      <c r="AL9" s="368"/>
      <c r="AM9" s="369"/>
      <c r="AN9" s="367">
        <f>'Tiempos Planeados'!AN9</f>
        <v>2.0609999999999999</v>
      </c>
      <c r="AO9" s="368"/>
      <c r="AP9" s="369"/>
      <c r="AQ9" s="367">
        <f>'Tiempos Planeados'!AQ9</f>
        <v>2.7480000000000002</v>
      </c>
      <c r="AR9" s="368"/>
      <c r="AS9" s="369"/>
      <c r="AT9" s="367">
        <f>'Tiempos Planeados'!AT9</f>
        <v>1.3740000000000001</v>
      </c>
      <c r="AU9" s="368"/>
      <c r="AV9" s="369"/>
      <c r="AW9" s="154">
        <f>'Tiempos Planeados'!AW9</f>
        <v>6.870000000000001</v>
      </c>
      <c r="AX9" s="155"/>
      <c r="AY9" s="156"/>
      <c r="AZ9" s="155">
        <f ca="1">IF(C9&lt;&gt;"",SUMIF($C$28:$M$7007,C9,$K$28:$M$7007),0)</f>
        <v>0.75</v>
      </c>
      <c r="BA9" s="155"/>
      <c r="BB9" s="156"/>
      <c r="BC9" s="154">
        <f ca="1">IF(C9&lt;&gt;"",SUMIF($C$28:$P$7007,C9,$N$28:$P$7007),0)</f>
        <v>1.75</v>
      </c>
      <c r="BD9" s="155"/>
      <c r="BE9" s="156"/>
      <c r="BF9" s="154">
        <f ca="1">IF(C9&lt;&gt;"",SUMIF($C$28:$S$7007,C9,$Q$28:$S$7007),0)</f>
        <v>0.25</v>
      </c>
      <c r="BG9" s="155"/>
      <c r="BH9" s="156"/>
      <c r="BI9" s="154">
        <f ca="1">IF(C9&lt;&gt;"",SUMIF($C$28:$V$7007,C9,$T$28:$V$7007),0)</f>
        <v>0.15</v>
      </c>
      <c r="BJ9" s="155"/>
      <c r="BK9" s="156"/>
      <c r="BL9" s="370">
        <f>$AP$21</f>
        <v>0</v>
      </c>
      <c r="BM9" s="371"/>
      <c r="BN9" s="372"/>
      <c r="BO9" s="154">
        <f t="shared" ref="BO9" ca="1" si="2">SUM(AZ9:BN9)</f>
        <v>2.9</v>
      </c>
      <c r="BP9" s="155"/>
      <c r="BQ9" s="156"/>
    </row>
    <row r="10" spans="1:69" ht="15.95" customHeight="1" x14ac:dyDescent="0.2">
      <c r="C10" s="139" t="str">
        <f>IF('Info General'!C27:E27&lt;&gt;"",'Info General'!C27:E27,"")</f>
        <v>HU-004</v>
      </c>
      <c r="D10" s="140"/>
      <c r="E10" s="141"/>
      <c r="F10" s="373" t="str">
        <f>IF('Info General'!F27:T27&lt;&gt;"",'Info General'!F27:T27,"")</f>
        <v>Reserva de hoteles</v>
      </c>
      <c r="G10" s="374"/>
      <c r="H10" s="374"/>
      <c r="I10" s="374"/>
      <c r="J10" s="374"/>
      <c r="K10" s="374"/>
      <c r="L10" s="374"/>
      <c r="M10" s="374"/>
      <c r="N10" s="374"/>
      <c r="O10" s="374"/>
      <c r="P10" s="374"/>
      <c r="Q10" s="374"/>
      <c r="R10" s="374"/>
      <c r="S10" s="374"/>
      <c r="T10" s="374"/>
      <c r="U10" s="374"/>
      <c r="V10" s="154">
        <f>'Tiempos Planeados'!V10</f>
        <v>0.5</v>
      </c>
      <c r="W10" s="155"/>
      <c r="X10" s="156"/>
      <c r="Y10" s="154">
        <f>'Tiempos Planeados'!Y10</f>
        <v>2</v>
      </c>
      <c r="Z10" s="155"/>
      <c r="AA10" s="156"/>
      <c r="AB10" s="154">
        <f>'Tiempos Planeados'!AB10</f>
        <v>2.5</v>
      </c>
      <c r="AC10" s="155"/>
      <c r="AD10" s="156"/>
      <c r="AE10" s="154">
        <f>'Tiempos Planeados'!AE10</f>
        <v>1</v>
      </c>
      <c r="AF10" s="155"/>
      <c r="AG10" s="156"/>
      <c r="AH10" s="154">
        <f>'Tiempos Planeados'!AH10</f>
        <v>6</v>
      </c>
      <c r="AI10" s="155"/>
      <c r="AJ10" s="156"/>
      <c r="AK10" s="367">
        <f>'Tiempos Planeados'!AK10</f>
        <v>0.68700000000000006</v>
      </c>
      <c r="AL10" s="368"/>
      <c r="AM10" s="369"/>
      <c r="AN10" s="367">
        <f>'Tiempos Planeados'!AN10</f>
        <v>2.7480000000000002</v>
      </c>
      <c r="AO10" s="368"/>
      <c r="AP10" s="369"/>
      <c r="AQ10" s="367">
        <f>'Tiempos Planeados'!AQ10</f>
        <v>3.4350000000000001</v>
      </c>
      <c r="AR10" s="368"/>
      <c r="AS10" s="369"/>
      <c r="AT10" s="367">
        <f>'Tiempos Planeados'!AT10</f>
        <v>1.3740000000000001</v>
      </c>
      <c r="AU10" s="368"/>
      <c r="AV10" s="369"/>
      <c r="AW10" s="154">
        <f>'Tiempos Planeados'!AW10</f>
        <v>8.2440000000000015</v>
      </c>
      <c r="AX10" s="155"/>
      <c r="AY10" s="156"/>
      <c r="AZ10" s="155">
        <f ca="1">IF(C10&lt;&gt;"",SUMIF($C$28:$M$7007,C10,$K$28:$M$7007),0)</f>
        <v>0.75</v>
      </c>
      <c r="BA10" s="155"/>
      <c r="BB10" s="156"/>
      <c r="BC10" s="154">
        <f ca="1">IF(C10&lt;&gt;"",SUMIF($C$28:$P$7007,C10,$N$28:$P$7007),0)</f>
        <v>1.25</v>
      </c>
      <c r="BD10" s="155"/>
      <c r="BE10" s="156"/>
      <c r="BF10" s="154">
        <f ca="1">IF(C10&lt;&gt;"",SUMIF($C$28:$S$7007,C10,$Q$28:$S$7007),0)</f>
        <v>0.25</v>
      </c>
      <c r="BG10" s="155"/>
      <c r="BH10" s="156"/>
      <c r="BI10" s="154">
        <f ca="1">IF(C10&lt;&gt;"",SUMIF($C$28:$V$7007,C10,$T$28:$V$7007),0)</f>
        <v>0.15</v>
      </c>
      <c r="BJ10" s="155"/>
      <c r="BK10" s="156"/>
      <c r="BL10" s="370">
        <f>$AP$21</f>
        <v>0</v>
      </c>
      <c r="BM10" s="371"/>
      <c r="BN10" s="372"/>
      <c r="BO10" s="154">
        <f t="shared" ref="BO10" ca="1" si="3">SUM(AZ10:BN10)</f>
        <v>2.4</v>
      </c>
      <c r="BP10" s="155"/>
      <c r="BQ10" s="156"/>
    </row>
    <row r="11" spans="1:69" ht="3.75" customHeight="1" x14ac:dyDescent="0.2">
      <c r="A11" s="82" t="s">
        <v>161</v>
      </c>
      <c r="C11" s="379"/>
      <c r="D11" s="379"/>
      <c r="E11" s="379"/>
      <c r="F11" s="379"/>
      <c r="G11" s="379"/>
      <c r="H11" s="379"/>
      <c r="I11" s="379"/>
      <c r="J11" s="379"/>
      <c r="K11" s="379"/>
      <c r="L11" s="379"/>
      <c r="M11" s="379"/>
      <c r="N11" s="379"/>
      <c r="O11" s="379"/>
      <c r="P11" s="379"/>
      <c r="Q11" s="379"/>
      <c r="R11" s="379"/>
      <c r="S11" s="379"/>
      <c r="T11" s="379"/>
      <c r="U11" s="379"/>
      <c r="V11" s="379"/>
      <c r="W11" s="379"/>
      <c r="X11" s="379"/>
      <c r="Y11" s="379"/>
      <c r="Z11" s="379"/>
      <c r="AA11" s="379"/>
      <c r="AB11" s="379"/>
      <c r="AC11" s="379"/>
      <c r="AD11" s="379"/>
      <c r="AE11" s="379"/>
      <c r="AF11" s="379"/>
      <c r="AG11" s="379"/>
      <c r="AH11" s="379"/>
      <c r="AI11" s="379"/>
      <c r="AJ11" s="379"/>
      <c r="AK11" s="379"/>
      <c r="AL11" s="379"/>
      <c r="AM11" s="379"/>
      <c r="AN11" s="379"/>
      <c r="AO11" s="379"/>
      <c r="AP11" s="379"/>
      <c r="AQ11" s="379"/>
      <c r="AR11" s="379"/>
      <c r="AS11" s="379"/>
      <c r="AT11" s="379"/>
      <c r="AU11" s="379"/>
      <c r="AV11" s="379"/>
      <c r="AW11" s="379"/>
      <c r="AX11" s="379"/>
      <c r="AY11" s="379"/>
      <c r="AZ11" s="379"/>
      <c r="BA11" s="379"/>
      <c r="BB11" s="379"/>
      <c r="BC11" s="379"/>
      <c r="BD11" s="379"/>
      <c r="BE11" s="379"/>
      <c r="BF11" s="379"/>
      <c r="BG11" s="379"/>
      <c r="BH11" s="379"/>
      <c r="BI11" s="379"/>
      <c r="BJ11" s="379"/>
      <c r="BK11" s="379"/>
      <c r="BL11" s="379"/>
      <c r="BM11" s="379"/>
      <c r="BN11" s="379"/>
      <c r="BO11" s="379"/>
      <c r="BP11" s="379"/>
      <c r="BQ11" s="379"/>
    </row>
    <row r="12" spans="1:69" ht="15.95" customHeight="1" x14ac:dyDescent="0.2">
      <c r="C12" s="151" t="s">
        <v>268</v>
      </c>
      <c r="D12" s="178"/>
      <c r="E12" s="178"/>
      <c r="F12" s="178"/>
      <c r="G12" s="178"/>
      <c r="H12" s="178"/>
      <c r="I12" s="178"/>
      <c r="J12" s="178"/>
      <c r="K12" s="178"/>
      <c r="L12" s="178"/>
      <c r="M12" s="178"/>
      <c r="N12" s="178"/>
      <c r="O12" s="178"/>
      <c r="P12" s="178"/>
      <c r="Q12" s="178"/>
      <c r="R12" s="178"/>
      <c r="S12" s="178"/>
      <c r="T12" s="178"/>
      <c r="U12" s="179"/>
      <c r="V12" s="154">
        <f>SUM(V6:V11)</f>
        <v>2</v>
      </c>
      <c r="W12" s="155"/>
      <c r="X12" s="156"/>
      <c r="Y12" s="154">
        <f>SUM(Y6:Y11)</f>
        <v>5.5</v>
      </c>
      <c r="Z12" s="155"/>
      <c r="AA12" s="156"/>
      <c r="AB12" s="154">
        <f>SUM(AB6:AB11)</f>
        <v>7</v>
      </c>
      <c r="AC12" s="155"/>
      <c r="AD12" s="156"/>
      <c r="AE12" s="154">
        <f>SUM(AE6:AE11)</f>
        <v>4</v>
      </c>
      <c r="AF12" s="155"/>
      <c r="AG12" s="156"/>
      <c r="AH12" s="154">
        <f>SUM(AH6:AH11)</f>
        <v>18.5</v>
      </c>
      <c r="AI12" s="155"/>
      <c r="AJ12" s="156"/>
      <c r="AK12" s="154">
        <f>SUM(AK6:AK11)</f>
        <v>2.7480000000000002</v>
      </c>
      <c r="AL12" s="155"/>
      <c r="AM12" s="156"/>
      <c r="AN12" s="154">
        <f>SUM(AN6:AN11)</f>
        <v>7.5570000000000004</v>
      </c>
      <c r="AO12" s="155"/>
      <c r="AP12" s="156"/>
      <c r="AQ12" s="154">
        <f>SUM(AQ6:AQ11)</f>
        <v>9.6180000000000003</v>
      </c>
      <c r="AR12" s="155"/>
      <c r="AS12" s="156"/>
      <c r="AT12" s="154">
        <f>SUM(AT6:AT11)</f>
        <v>5.4960000000000004</v>
      </c>
      <c r="AU12" s="155"/>
      <c r="AV12" s="156"/>
      <c r="AW12" s="154">
        <f>SUM(AW6:AW11)</f>
        <v>25.419000000000004</v>
      </c>
      <c r="AX12" s="155"/>
      <c r="AY12" s="156"/>
      <c r="AZ12" s="154">
        <f ca="1">SUM(AZ6:AZ11)</f>
        <v>2.75</v>
      </c>
      <c r="BA12" s="155"/>
      <c r="BB12" s="156"/>
      <c r="BC12" s="154">
        <f ca="1">SUM(BC6:BC11)</f>
        <v>5.25</v>
      </c>
      <c r="BD12" s="155"/>
      <c r="BE12" s="156"/>
      <c r="BF12" s="154">
        <f ca="1">SUM(BF6:BF11)</f>
        <v>2.5</v>
      </c>
      <c r="BG12" s="155"/>
      <c r="BH12" s="156"/>
      <c r="BI12" s="154">
        <f ca="1">SUM(BI6:BI11)</f>
        <v>0.6</v>
      </c>
      <c r="BJ12" s="155"/>
      <c r="BK12" s="156"/>
      <c r="BL12" s="154">
        <f>SUM(BL6:BL11)</f>
        <v>0</v>
      </c>
      <c r="BM12" s="155"/>
      <c r="BN12" s="156"/>
      <c r="BO12" s="154">
        <f ca="1">SUM(BO6:BO11)</f>
        <v>11.1</v>
      </c>
      <c r="BP12" s="155"/>
      <c r="BQ12" s="156"/>
    </row>
    <row r="13" spans="1:69" ht="14.25" x14ac:dyDescent="0.2">
      <c r="C13" s="108"/>
      <c r="D13" s="108"/>
      <c r="E13" s="108"/>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10"/>
      <c r="BJ13" s="110"/>
      <c r="BK13" s="110"/>
      <c r="BL13" s="110"/>
      <c r="BM13" s="110"/>
      <c r="BN13" s="110"/>
      <c r="BO13" s="110"/>
      <c r="BP13" s="110"/>
      <c r="BQ13" s="110"/>
    </row>
    <row r="14" spans="1:69" ht="14.25" x14ac:dyDescent="0.2">
      <c r="C14" s="172" t="s">
        <v>233</v>
      </c>
      <c r="D14" s="172"/>
      <c r="E14" s="172"/>
      <c r="F14" s="172" t="s">
        <v>234</v>
      </c>
      <c r="G14" s="172"/>
      <c r="H14" s="172"/>
      <c r="I14" s="172"/>
      <c r="J14" s="172"/>
      <c r="K14" s="172"/>
      <c r="L14" s="172"/>
      <c r="M14" s="172"/>
      <c r="N14" s="172"/>
      <c r="O14" s="172"/>
      <c r="P14" s="172"/>
      <c r="Q14" s="172"/>
      <c r="R14" s="172"/>
      <c r="S14" s="172"/>
      <c r="T14" s="172"/>
      <c r="U14" s="172"/>
      <c r="V14" s="186" t="s">
        <v>236</v>
      </c>
      <c r="W14" s="187"/>
      <c r="X14" s="187"/>
      <c r="Y14" s="187"/>
      <c r="Z14" s="188"/>
      <c r="AA14" s="277" t="s">
        <v>235</v>
      </c>
      <c r="AB14" s="277"/>
      <c r="AC14" s="277"/>
      <c r="AD14" s="277"/>
      <c r="AE14" s="277"/>
      <c r="AF14" s="277" t="s">
        <v>247</v>
      </c>
      <c r="AG14" s="277"/>
      <c r="AH14" s="277"/>
      <c r="AI14" s="277"/>
      <c r="AJ14" s="277"/>
      <c r="AK14" s="277" t="s">
        <v>248</v>
      </c>
      <c r="AL14" s="277"/>
      <c r="AM14" s="277"/>
      <c r="AN14" s="277"/>
      <c r="AO14" s="277"/>
      <c r="AP14" s="277" t="s">
        <v>249</v>
      </c>
      <c r="AQ14" s="277"/>
      <c r="AR14" s="277"/>
      <c r="AS14" s="277"/>
      <c r="AT14" s="277"/>
      <c r="AU14" s="108"/>
      <c r="AV14" s="108"/>
      <c r="AW14" s="108"/>
      <c r="AX14" s="108"/>
      <c r="AY14" s="108"/>
      <c r="AZ14" s="108"/>
      <c r="BA14" s="108"/>
      <c r="BB14" s="108"/>
      <c r="BC14" s="108"/>
      <c r="BD14" s="108"/>
      <c r="BE14" s="108"/>
      <c r="BF14" s="108"/>
      <c r="BG14" s="108"/>
      <c r="BH14" s="108"/>
      <c r="BI14" s="110"/>
      <c r="BJ14" s="110"/>
      <c r="BK14" s="110"/>
      <c r="BL14" s="110"/>
      <c r="BM14" s="110"/>
      <c r="BN14" s="110"/>
      <c r="BO14" s="110"/>
      <c r="BP14" s="110"/>
      <c r="BQ14" s="110"/>
    </row>
    <row r="15" spans="1:69" ht="15.95" customHeight="1" x14ac:dyDescent="0.2">
      <c r="C15" s="375">
        <v>1</v>
      </c>
      <c r="D15" s="376"/>
      <c r="E15" s="377"/>
      <c r="F15" s="375" t="s">
        <v>237</v>
      </c>
      <c r="G15" s="376"/>
      <c r="H15" s="376"/>
      <c r="I15" s="376"/>
      <c r="J15" s="376"/>
      <c r="K15" s="376"/>
      <c r="L15" s="376"/>
      <c r="M15" s="376"/>
      <c r="N15" s="376"/>
      <c r="O15" s="376"/>
      <c r="P15" s="376"/>
      <c r="Q15" s="376"/>
      <c r="R15" s="376"/>
      <c r="S15" s="376"/>
      <c r="T15" s="376"/>
      <c r="U15" s="377"/>
      <c r="V15" s="159">
        <f>'Tiempos Planeados'!V17</f>
        <v>0</v>
      </c>
      <c r="W15" s="160"/>
      <c r="X15" s="160"/>
      <c r="Y15" s="160"/>
      <c r="Z15" s="161"/>
      <c r="AA15" s="139">
        <f>'Tiempos Planeados'!AA17:AE17</f>
        <v>0</v>
      </c>
      <c r="AB15" s="140"/>
      <c r="AC15" s="140"/>
      <c r="AD15" s="140"/>
      <c r="AE15" s="141"/>
      <c r="AF15" s="154">
        <f>IF($V$15&lt;&gt;0,'Tiempos Planeados'!AF17:AJ17,0)</f>
        <v>0</v>
      </c>
      <c r="AG15" s="155"/>
      <c r="AH15" s="155"/>
      <c r="AI15" s="155"/>
      <c r="AJ15" s="156"/>
      <c r="AK15" s="375">
        <f ca="1">SUMIF($C$29:$V$6998,C15,$K$29:$V$6998)</f>
        <v>0</v>
      </c>
      <c r="AL15" s="376"/>
      <c r="AM15" s="376"/>
      <c r="AN15" s="376"/>
      <c r="AO15" s="377"/>
      <c r="AP15" s="383">
        <f>IF($V$15&gt;0,AK15/'Tiempos Planeados'!$V$17,0)</f>
        <v>0</v>
      </c>
      <c r="AQ15" s="384"/>
      <c r="AR15" s="384"/>
      <c r="AS15" s="384"/>
      <c r="AT15" s="385"/>
      <c r="AU15" s="108"/>
      <c r="AV15" s="108"/>
      <c r="AW15" s="108"/>
      <c r="AX15" s="108"/>
      <c r="AY15" s="108"/>
      <c r="AZ15" s="108"/>
      <c r="BA15" s="108"/>
      <c r="BB15" s="108"/>
      <c r="BC15" s="108"/>
      <c r="BD15" s="108"/>
      <c r="BE15" s="108"/>
      <c r="BF15" s="108"/>
      <c r="BG15" s="108"/>
      <c r="BH15" s="108"/>
      <c r="BI15" s="110"/>
      <c r="BJ15" s="110"/>
      <c r="BK15" s="110"/>
      <c r="BL15" s="110"/>
      <c r="BM15" s="110"/>
      <c r="BN15" s="110"/>
      <c r="BO15" s="110"/>
      <c r="BP15" s="110"/>
      <c r="BQ15" s="110"/>
    </row>
    <row r="16" spans="1:69" ht="15.95" customHeight="1" x14ac:dyDescent="0.2">
      <c r="C16" s="375">
        <v>2</v>
      </c>
      <c r="D16" s="376"/>
      <c r="E16" s="377"/>
      <c r="F16" s="375" t="s">
        <v>238</v>
      </c>
      <c r="G16" s="376"/>
      <c r="H16" s="376"/>
      <c r="I16" s="376"/>
      <c r="J16" s="376"/>
      <c r="K16" s="376"/>
      <c r="L16" s="376"/>
      <c r="M16" s="376"/>
      <c r="N16" s="376"/>
      <c r="O16" s="376"/>
      <c r="P16" s="376"/>
      <c r="Q16" s="376"/>
      <c r="R16" s="376"/>
      <c r="S16" s="376"/>
      <c r="T16" s="376"/>
      <c r="U16" s="377"/>
      <c r="V16" s="162"/>
      <c r="W16" s="163"/>
      <c r="X16" s="163"/>
      <c r="Y16" s="163"/>
      <c r="Z16" s="164"/>
      <c r="AA16" s="139">
        <f>'Tiempos Planeados'!AA18:AE18</f>
        <v>2</v>
      </c>
      <c r="AB16" s="140"/>
      <c r="AC16" s="140"/>
      <c r="AD16" s="140"/>
      <c r="AE16" s="141"/>
      <c r="AF16" s="154">
        <f>IF($V$15&lt;&gt;0,'Tiempos Planeados'!AF18:AJ18,0)</f>
        <v>0</v>
      </c>
      <c r="AG16" s="155"/>
      <c r="AH16" s="155"/>
      <c r="AI16" s="155"/>
      <c r="AJ16" s="156"/>
      <c r="AK16" s="375">
        <f ca="1">SUMIF($C$28:$V$6998,C16,$K$28:$V$6998)</f>
        <v>0</v>
      </c>
      <c r="AL16" s="376"/>
      <c r="AM16" s="376"/>
      <c r="AN16" s="376"/>
      <c r="AO16" s="377"/>
      <c r="AP16" s="383">
        <f>IF($V$15&gt;0,AK16/'Tiempos Planeados'!$V$17,0)</f>
        <v>0</v>
      </c>
      <c r="AQ16" s="384"/>
      <c r="AR16" s="384"/>
      <c r="AS16" s="384"/>
      <c r="AT16" s="385"/>
      <c r="AU16" s="108"/>
      <c r="AV16" s="108"/>
      <c r="AW16" s="108"/>
      <c r="AX16" s="108"/>
      <c r="AY16" s="108"/>
      <c r="AZ16" s="108"/>
      <c r="BA16" s="108"/>
      <c r="BB16" s="108"/>
      <c r="BC16" s="108"/>
      <c r="BD16" s="108"/>
      <c r="BE16" s="108"/>
      <c r="BF16" s="108"/>
      <c r="BG16" s="108"/>
      <c r="BH16" s="108"/>
      <c r="BI16" s="110"/>
      <c r="BJ16" s="110"/>
      <c r="BK16" s="110"/>
      <c r="BL16" s="110"/>
      <c r="BM16" s="110"/>
      <c r="BN16" s="110"/>
      <c r="BO16" s="110"/>
      <c r="BP16" s="110"/>
      <c r="BQ16" s="110"/>
    </row>
    <row r="17" spans="1:69" ht="15.95" customHeight="1" x14ac:dyDescent="0.2">
      <c r="C17" s="375">
        <v>3</v>
      </c>
      <c r="D17" s="376"/>
      <c r="E17" s="377"/>
      <c r="F17" s="375" t="s">
        <v>239</v>
      </c>
      <c r="G17" s="376"/>
      <c r="H17" s="376"/>
      <c r="I17" s="376"/>
      <c r="J17" s="376"/>
      <c r="K17" s="376"/>
      <c r="L17" s="376"/>
      <c r="M17" s="376"/>
      <c r="N17" s="376"/>
      <c r="O17" s="376"/>
      <c r="P17" s="376"/>
      <c r="Q17" s="376"/>
      <c r="R17" s="376"/>
      <c r="S17" s="376"/>
      <c r="T17" s="376"/>
      <c r="U17" s="377"/>
      <c r="V17" s="162"/>
      <c r="W17" s="163"/>
      <c r="X17" s="163"/>
      <c r="Y17" s="163"/>
      <c r="Z17" s="164"/>
      <c r="AA17" s="139">
        <f>'Tiempos Planeados'!AA19:AE19</f>
        <v>1.5</v>
      </c>
      <c r="AB17" s="140"/>
      <c r="AC17" s="140"/>
      <c r="AD17" s="140"/>
      <c r="AE17" s="141"/>
      <c r="AF17" s="154">
        <f>IF($V$15&lt;&gt;0,'Tiempos Planeados'!AF19:AJ19,0)</f>
        <v>0</v>
      </c>
      <c r="AG17" s="155"/>
      <c r="AH17" s="155"/>
      <c r="AI17" s="155"/>
      <c r="AJ17" s="156"/>
      <c r="AK17" s="375">
        <f ca="1">SUMIF($C$28:$V$6998,C17,$K$28:$V$6998)</f>
        <v>0</v>
      </c>
      <c r="AL17" s="376"/>
      <c r="AM17" s="376"/>
      <c r="AN17" s="376"/>
      <c r="AO17" s="377"/>
      <c r="AP17" s="383">
        <f>IF($V$15&gt;0,AK17/'Tiempos Planeados'!$V$17,0)</f>
        <v>0</v>
      </c>
      <c r="AQ17" s="384"/>
      <c r="AR17" s="384"/>
      <c r="AS17" s="384"/>
      <c r="AT17" s="385"/>
      <c r="AU17" s="108"/>
      <c r="AV17" s="108"/>
      <c r="AW17" s="108"/>
      <c r="AX17" s="108"/>
      <c r="AY17" s="108"/>
      <c r="AZ17" s="108"/>
      <c r="BA17" s="108"/>
      <c r="BB17" s="108"/>
      <c r="BC17" s="108"/>
      <c r="BD17" s="108"/>
      <c r="BE17" s="108"/>
      <c r="BF17" s="108"/>
      <c r="BG17" s="108"/>
      <c r="BH17" s="108"/>
      <c r="BI17" s="110"/>
      <c r="BJ17" s="110"/>
      <c r="BK17" s="110"/>
      <c r="BL17" s="110"/>
      <c r="BM17" s="110"/>
      <c r="BN17" s="110"/>
      <c r="BO17" s="110"/>
      <c r="BP17" s="110"/>
      <c r="BQ17" s="110"/>
    </row>
    <row r="18" spans="1:69" ht="15.95" customHeight="1" x14ac:dyDescent="0.2">
      <c r="C18" s="375">
        <v>4</v>
      </c>
      <c r="D18" s="376"/>
      <c r="E18" s="377"/>
      <c r="F18" s="375" t="s">
        <v>240</v>
      </c>
      <c r="G18" s="376"/>
      <c r="H18" s="376"/>
      <c r="I18" s="376"/>
      <c r="J18" s="376"/>
      <c r="K18" s="376"/>
      <c r="L18" s="376"/>
      <c r="M18" s="376"/>
      <c r="N18" s="376"/>
      <c r="O18" s="376"/>
      <c r="P18" s="376"/>
      <c r="Q18" s="376"/>
      <c r="R18" s="376"/>
      <c r="S18" s="376"/>
      <c r="T18" s="376"/>
      <c r="U18" s="377"/>
      <c r="V18" s="162"/>
      <c r="W18" s="163"/>
      <c r="X18" s="163"/>
      <c r="Y18" s="163"/>
      <c r="Z18" s="164"/>
      <c r="AA18" s="139">
        <f>'Tiempos Planeados'!AA20:AE20</f>
        <v>2.5</v>
      </c>
      <c r="AB18" s="140"/>
      <c r="AC18" s="140"/>
      <c r="AD18" s="140"/>
      <c r="AE18" s="141"/>
      <c r="AF18" s="154">
        <f>IF($V$15&lt;&gt;0,'Tiempos Planeados'!AF20:AJ20,0)</f>
        <v>0</v>
      </c>
      <c r="AG18" s="155"/>
      <c r="AH18" s="155"/>
      <c r="AI18" s="155"/>
      <c r="AJ18" s="156"/>
      <c r="AK18" s="375">
        <f ca="1">SUMIF($C$28:$V$6998,C18,$K$28:$V$6998)</f>
        <v>0</v>
      </c>
      <c r="AL18" s="376"/>
      <c r="AM18" s="376"/>
      <c r="AN18" s="376"/>
      <c r="AO18" s="377"/>
      <c r="AP18" s="383">
        <f>IF($V$15&gt;0,AK18/'Tiempos Planeados'!$V$17,0)</f>
        <v>0</v>
      </c>
      <c r="AQ18" s="384"/>
      <c r="AR18" s="384"/>
      <c r="AS18" s="384"/>
      <c r="AT18" s="385"/>
      <c r="AU18" s="108"/>
      <c r="AV18" s="108"/>
      <c r="AW18" s="108"/>
      <c r="AX18" s="108"/>
      <c r="AY18" s="108"/>
      <c r="AZ18" s="108"/>
      <c r="BA18" s="108"/>
      <c r="BB18" s="108"/>
      <c r="BC18" s="108"/>
      <c r="BD18" s="108"/>
      <c r="BE18" s="108"/>
      <c r="BF18" s="108"/>
      <c r="BG18" s="108"/>
      <c r="BH18" s="108"/>
      <c r="BI18" s="110"/>
      <c r="BJ18" s="110"/>
      <c r="BK18" s="110"/>
      <c r="BL18" s="110"/>
      <c r="BM18" s="110"/>
      <c r="BN18" s="110"/>
      <c r="BO18" s="110"/>
      <c r="BP18" s="110"/>
      <c r="BQ18" s="110"/>
    </row>
    <row r="19" spans="1:69" ht="15.95" customHeight="1" x14ac:dyDescent="0.2">
      <c r="C19" s="375">
        <v>5</v>
      </c>
      <c r="D19" s="376"/>
      <c r="E19" s="377"/>
      <c r="F19" s="375" t="s">
        <v>241</v>
      </c>
      <c r="G19" s="376"/>
      <c r="H19" s="376"/>
      <c r="I19" s="376"/>
      <c r="J19" s="376"/>
      <c r="K19" s="376"/>
      <c r="L19" s="376"/>
      <c r="M19" s="376"/>
      <c r="N19" s="376"/>
      <c r="O19" s="376"/>
      <c r="P19" s="376"/>
      <c r="Q19" s="376"/>
      <c r="R19" s="376"/>
      <c r="S19" s="376"/>
      <c r="T19" s="376"/>
      <c r="U19" s="377"/>
      <c r="V19" s="162"/>
      <c r="W19" s="163"/>
      <c r="X19" s="163"/>
      <c r="Y19" s="163"/>
      <c r="Z19" s="164"/>
      <c r="AA19" s="139">
        <f>'Tiempos Planeados'!AA21:AE21</f>
        <v>1.5</v>
      </c>
      <c r="AB19" s="140"/>
      <c r="AC19" s="140"/>
      <c r="AD19" s="140"/>
      <c r="AE19" s="141"/>
      <c r="AF19" s="154">
        <f>IF($V$15&lt;&gt;0,'Tiempos Planeados'!AF21:AJ21,0)</f>
        <v>0</v>
      </c>
      <c r="AG19" s="155"/>
      <c r="AH19" s="155"/>
      <c r="AI19" s="155"/>
      <c r="AJ19" s="156"/>
      <c r="AK19" s="375">
        <f ca="1">SUMIF($C$28:$V$6998,C19,$K$28:$V$6998)</f>
        <v>0</v>
      </c>
      <c r="AL19" s="376"/>
      <c r="AM19" s="376"/>
      <c r="AN19" s="376"/>
      <c r="AO19" s="377"/>
      <c r="AP19" s="383">
        <f>IF($V$15&gt;0,AK19/'Tiempos Planeados'!$V$17,0)</f>
        <v>0</v>
      </c>
      <c r="AQ19" s="384"/>
      <c r="AR19" s="384"/>
      <c r="AS19" s="384"/>
      <c r="AT19" s="385"/>
      <c r="AU19" s="108"/>
      <c r="AV19" s="108"/>
      <c r="AW19" s="108"/>
      <c r="AX19" s="108"/>
      <c r="AY19" s="108"/>
      <c r="AZ19" s="108"/>
      <c r="BA19" s="108"/>
      <c r="BB19" s="108"/>
      <c r="BC19" s="108"/>
      <c r="BD19" s="108"/>
      <c r="BE19" s="108"/>
      <c r="BF19" s="108"/>
      <c r="BG19" s="108"/>
      <c r="BH19" s="108"/>
      <c r="BI19" s="110"/>
      <c r="BJ19" s="110"/>
      <c r="BK19" s="110"/>
      <c r="BL19" s="110"/>
      <c r="BM19" s="110"/>
      <c r="BN19" s="110"/>
      <c r="BO19" s="110"/>
      <c r="BP19" s="110"/>
      <c r="BQ19" s="110"/>
    </row>
    <row r="20" spans="1:69" ht="15.95" customHeight="1" x14ac:dyDescent="0.2">
      <c r="C20" s="375">
        <v>6</v>
      </c>
      <c r="D20" s="376"/>
      <c r="E20" s="377"/>
      <c r="F20" s="375" t="s">
        <v>242</v>
      </c>
      <c r="G20" s="376"/>
      <c r="H20" s="376"/>
      <c r="I20" s="376"/>
      <c r="J20" s="376"/>
      <c r="K20" s="376"/>
      <c r="L20" s="376"/>
      <c r="M20" s="376"/>
      <c r="N20" s="376"/>
      <c r="O20" s="376"/>
      <c r="P20" s="376"/>
      <c r="Q20" s="376"/>
      <c r="R20" s="376"/>
      <c r="S20" s="376"/>
      <c r="T20" s="376"/>
      <c r="U20" s="377"/>
      <c r="V20" s="165"/>
      <c r="W20" s="166"/>
      <c r="X20" s="166"/>
      <c r="Y20" s="166"/>
      <c r="Z20" s="167"/>
      <c r="AA20" s="139">
        <f>'Tiempos Planeados'!AA22:AE22</f>
        <v>1.5</v>
      </c>
      <c r="AB20" s="140"/>
      <c r="AC20" s="140"/>
      <c r="AD20" s="140"/>
      <c r="AE20" s="141"/>
      <c r="AF20" s="154">
        <f>IF($V$15&lt;&gt;0,'Tiempos Planeados'!AF22:AJ22,0)</f>
        <v>0</v>
      </c>
      <c r="AG20" s="155"/>
      <c r="AH20" s="155"/>
      <c r="AI20" s="155"/>
      <c r="AJ20" s="156"/>
      <c r="AK20" s="375">
        <f ca="1">SUMIF($C$28:$V$6998,C20,$K$28:$V$6998)</f>
        <v>0</v>
      </c>
      <c r="AL20" s="376"/>
      <c r="AM20" s="376"/>
      <c r="AN20" s="376"/>
      <c r="AO20" s="377"/>
      <c r="AP20" s="383">
        <f>IF($V$15&gt;0,AK20/'Tiempos Planeados'!$V$17,0)</f>
        <v>0</v>
      </c>
      <c r="AQ20" s="384"/>
      <c r="AR20" s="384"/>
      <c r="AS20" s="384"/>
      <c r="AT20" s="385"/>
      <c r="AU20" s="108"/>
      <c r="AV20" s="108"/>
      <c r="AW20" s="108"/>
      <c r="AX20" s="108"/>
      <c r="AY20" s="108"/>
      <c r="AZ20" s="108"/>
      <c r="BA20" s="108"/>
      <c r="BB20" s="108"/>
      <c r="BC20" s="108"/>
      <c r="BD20" s="108"/>
      <c r="BE20" s="108"/>
      <c r="BF20" s="108"/>
      <c r="BG20" s="108"/>
      <c r="BH20" s="108"/>
      <c r="BI20" s="110"/>
      <c r="BJ20" s="110"/>
      <c r="BK20" s="110"/>
      <c r="BL20" s="110"/>
      <c r="BM20" s="110"/>
      <c r="BN20" s="110"/>
      <c r="BO20" s="110"/>
      <c r="BP20" s="110"/>
      <c r="BQ20" s="110"/>
    </row>
    <row r="21" spans="1:69" ht="15.95" customHeight="1" x14ac:dyDescent="0.2">
      <c r="C21" s="151" t="s">
        <v>244</v>
      </c>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0">
        <f>'Tiempos Planeados'!AA23:AE23</f>
        <v>9</v>
      </c>
      <c r="AB21" s="150"/>
      <c r="AC21" s="150"/>
      <c r="AD21" s="150"/>
      <c r="AE21" s="150"/>
      <c r="AF21" s="154">
        <f>IF(V21&lt;&gt;0,'Tiempos Planeados'!AF23:AJ23,0)</f>
        <v>0</v>
      </c>
      <c r="AG21" s="155"/>
      <c r="AH21" s="155"/>
      <c r="AI21" s="155"/>
      <c r="AJ21" s="156"/>
      <c r="AK21" s="380">
        <f ca="1">SUM(AK15:AO20)</f>
        <v>0</v>
      </c>
      <c r="AL21" s="380"/>
      <c r="AM21" s="380"/>
      <c r="AN21" s="380"/>
      <c r="AO21" s="380"/>
      <c r="AP21" s="378">
        <f>SUM(AP15:AT20)</f>
        <v>0</v>
      </c>
      <c r="AQ21" s="378"/>
      <c r="AR21" s="378"/>
      <c r="AS21" s="378"/>
      <c r="AT21" s="378"/>
      <c r="AU21" s="108"/>
      <c r="AV21" s="108"/>
      <c r="AW21" s="108"/>
      <c r="AX21" s="108"/>
      <c r="AY21" s="108"/>
      <c r="AZ21" s="108"/>
      <c r="BA21" s="108"/>
      <c r="BB21" s="108"/>
      <c r="BC21" s="108"/>
      <c r="BD21" s="108"/>
      <c r="BE21" s="108"/>
      <c r="BF21" s="108"/>
      <c r="BG21" s="108"/>
      <c r="BH21" s="108"/>
      <c r="BI21" s="110"/>
      <c r="BJ21" s="110"/>
      <c r="BK21" s="110"/>
      <c r="BL21" s="110"/>
      <c r="BM21" s="110"/>
      <c r="BN21" s="110"/>
      <c r="BO21" s="110"/>
      <c r="BP21" s="110"/>
      <c r="BQ21" s="110"/>
    </row>
    <row r="22" spans="1:69" ht="14.2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02"/>
      <c r="BO22" s="102"/>
      <c r="BP22" s="102"/>
      <c r="BQ22" s="102"/>
    </row>
    <row r="23" spans="1:69" ht="15.95" customHeight="1" x14ac:dyDescent="0.25">
      <c r="C23" s="174" t="s">
        <v>246</v>
      </c>
      <c r="D23" s="175"/>
      <c r="E23" s="175"/>
      <c r="F23" s="175"/>
      <c r="G23" s="175"/>
      <c r="H23" s="175"/>
      <c r="I23" s="175"/>
      <c r="J23" s="175"/>
      <c r="K23" s="175"/>
      <c r="L23" s="175"/>
      <c r="M23" s="175"/>
      <c r="N23" s="175"/>
      <c r="O23" s="175"/>
      <c r="P23" s="176"/>
      <c r="Q23" s="111"/>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c r="BO23" s="107"/>
      <c r="BP23" s="107"/>
      <c r="BQ23" s="107"/>
    </row>
    <row r="24" spans="1:69" ht="14.25" x14ac:dyDescent="0.25">
      <c r="C24" s="102"/>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102"/>
      <c r="BF24" s="102"/>
      <c r="BG24" s="102"/>
      <c r="BH24" s="102"/>
      <c r="BI24" s="102"/>
      <c r="BJ24" s="102"/>
      <c r="BK24" s="102"/>
      <c r="BL24" s="102"/>
      <c r="BM24" s="102"/>
      <c r="BN24" s="102"/>
      <c r="BO24" s="102"/>
      <c r="BP24" s="102"/>
      <c r="BQ24" s="102"/>
    </row>
    <row r="25" spans="1:69" ht="14.25" x14ac:dyDescent="0.25">
      <c r="C25" s="102"/>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row>
    <row r="26" spans="1:69" ht="14.25" x14ac:dyDescent="0.25">
      <c r="C26" s="102"/>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c r="BA26" s="102"/>
      <c r="BB26" s="102"/>
      <c r="BC26" s="102"/>
      <c r="BD26" s="102"/>
      <c r="BE26" s="102"/>
      <c r="BF26" s="102"/>
      <c r="BG26" s="102"/>
      <c r="BH26" s="102"/>
      <c r="BI26" s="102"/>
      <c r="BJ26" s="102"/>
      <c r="BK26" s="102"/>
      <c r="BL26" s="102"/>
      <c r="BM26" s="102"/>
      <c r="BN26" s="102"/>
      <c r="BO26" s="102"/>
      <c r="BP26" s="102"/>
      <c r="BQ26" s="102"/>
    </row>
    <row r="27" spans="1:69" ht="14.25" x14ac:dyDescent="0.25">
      <c r="C27" s="102"/>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c r="BA27" s="102"/>
      <c r="BB27" s="102"/>
      <c r="BC27" s="102"/>
      <c r="BD27" s="102"/>
      <c r="BE27" s="102"/>
      <c r="BF27" s="102"/>
      <c r="BG27" s="102"/>
      <c r="BH27" s="102"/>
      <c r="BI27" s="102"/>
      <c r="BJ27" s="102"/>
      <c r="BK27" s="102"/>
      <c r="BL27" s="102"/>
      <c r="BM27" s="102"/>
      <c r="BN27" s="102"/>
      <c r="BO27" s="102"/>
      <c r="BP27" s="102"/>
      <c r="BQ27" s="102"/>
    </row>
    <row r="28" spans="1:69" ht="15.95" customHeight="1" x14ac:dyDescent="0.25">
      <c r="A28" s="7" t="s">
        <v>250</v>
      </c>
      <c r="B28" s="26"/>
      <c r="C28" s="381" t="s">
        <v>31</v>
      </c>
      <c r="D28" s="381"/>
      <c r="E28" s="381"/>
      <c r="F28" s="381" t="s">
        <v>108</v>
      </c>
      <c r="G28" s="381"/>
      <c r="H28" s="381"/>
      <c r="I28" s="381"/>
      <c r="J28" s="381"/>
      <c r="K28" s="381" t="s">
        <v>276</v>
      </c>
      <c r="L28" s="381"/>
      <c r="M28" s="381"/>
      <c r="N28" s="381" t="s">
        <v>23</v>
      </c>
      <c r="O28" s="381"/>
      <c r="P28" s="381"/>
      <c r="Q28" s="381" t="s">
        <v>24</v>
      </c>
      <c r="R28" s="381"/>
      <c r="S28" s="381"/>
      <c r="T28" s="381" t="s">
        <v>40</v>
      </c>
      <c r="U28" s="381"/>
      <c r="V28" s="381"/>
      <c r="W28" s="112"/>
      <c r="X28" s="112"/>
      <c r="Y28" s="112"/>
      <c r="Z28" s="112"/>
      <c r="AA28" s="112"/>
      <c r="AB28" s="11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c r="BA28" s="102"/>
      <c r="BB28" s="102"/>
      <c r="BC28" s="102"/>
      <c r="BD28" s="102"/>
      <c r="BE28" s="102"/>
      <c r="BF28" s="102"/>
      <c r="BG28" s="102"/>
      <c r="BH28" s="102"/>
      <c r="BI28" s="102"/>
      <c r="BJ28" s="102"/>
      <c r="BK28" s="102"/>
      <c r="BL28" s="102"/>
      <c r="BM28" s="102"/>
      <c r="BN28" s="102"/>
      <c r="BO28" s="102"/>
      <c r="BP28" s="102"/>
      <c r="BQ28" s="102"/>
    </row>
    <row r="29" spans="1:69" ht="15.95" customHeight="1" x14ac:dyDescent="0.25">
      <c r="A29" s="7" t="s">
        <v>281</v>
      </c>
      <c r="C29" s="362" t="s">
        <v>291</v>
      </c>
      <c r="D29" s="362"/>
      <c r="E29" s="362"/>
      <c r="F29" s="363">
        <v>44320</v>
      </c>
      <c r="G29" s="362"/>
      <c r="H29" s="362"/>
      <c r="I29" s="362"/>
      <c r="J29" s="362"/>
      <c r="K29" s="362">
        <v>0.5</v>
      </c>
      <c r="L29" s="362"/>
      <c r="M29" s="362"/>
      <c r="N29" s="362"/>
      <c r="O29" s="362"/>
      <c r="P29" s="362"/>
      <c r="Q29" s="362"/>
      <c r="R29" s="362"/>
      <c r="S29" s="362"/>
      <c r="T29" s="362"/>
      <c r="U29" s="362"/>
      <c r="V29" s="362"/>
      <c r="W29" s="112"/>
      <c r="X29" s="112"/>
      <c r="Y29" s="11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c r="BD29" s="102"/>
      <c r="BE29" s="102"/>
      <c r="BF29" s="102"/>
      <c r="BG29" s="102"/>
      <c r="BH29" s="102"/>
      <c r="BI29" s="102"/>
      <c r="BJ29" s="102"/>
      <c r="BK29" s="102"/>
      <c r="BL29" s="102"/>
      <c r="BM29" s="102"/>
      <c r="BN29" s="102"/>
      <c r="BO29" s="102"/>
      <c r="BP29" s="102"/>
      <c r="BQ29" s="102"/>
    </row>
    <row r="30" spans="1:69" ht="15.95" customHeight="1" x14ac:dyDescent="0.25">
      <c r="C30" s="362" t="s">
        <v>292</v>
      </c>
      <c r="D30" s="362"/>
      <c r="E30" s="362"/>
      <c r="F30" s="363">
        <v>44320</v>
      </c>
      <c r="G30" s="362"/>
      <c r="H30" s="362"/>
      <c r="I30" s="362"/>
      <c r="J30" s="362"/>
      <c r="K30" s="362">
        <v>0.75</v>
      </c>
      <c r="L30" s="362"/>
      <c r="M30" s="362"/>
      <c r="N30" s="362"/>
      <c r="O30" s="362"/>
      <c r="P30" s="362"/>
      <c r="Q30" s="362"/>
      <c r="R30" s="362"/>
      <c r="S30" s="362"/>
      <c r="T30" s="364"/>
      <c r="U30" s="365"/>
      <c r="V30" s="366"/>
      <c r="W30" s="112"/>
      <c r="X30" s="112"/>
      <c r="Y30" s="11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c r="BA30" s="102"/>
      <c r="BB30" s="102"/>
      <c r="BC30" s="102"/>
      <c r="BD30" s="102"/>
      <c r="BE30" s="102"/>
      <c r="BF30" s="102"/>
      <c r="BG30" s="102"/>
      <c r="BH30" s="102"/>
      <c r="BI30" s="102"/>
      <c r="BJ30" s="102"/>
      <c r="BK30" s="102"/>
      <c r="BL30" s="102"/>
      <c r="BM30" s="102"/>
      <c r="BN30" s="102"/>
      <c r="BO30" s="102"/>
      <c r="BP30" s="102"/>
      <c r="BQ30" s="102"/>
    </row>
    <row r="31" spans="1:69" ht="15.95" customHeight="1" x14ac:dyDescent="0.25">
      <c r="C31" s="362" t="s">
        <v>300</v>
      </c>
      <c r="D31" s="362"/>
      <c r="E31" s="362"/>
      <c r="F31" s="363">
        <v>44320</v>
      </c>
      <c r="G31" s="362"/>
      <c r="H31" s="362"/>
      <c r="I31" s="362"/>
      <c r="J31" s="362"/>
      <c r="K31" s="362">
        <v>0.75</v>
      </c>
      <c r="L31" s="362"/>
      <c r="M31" s="362"/>
      <c r="N31" s="362"/>
      <c r="O31" s="362"/>
      <c r="P31" s="362"/>
      <c r="Q31" s="362"/>
      <c r="R31" s="362"/>
      <c r="S31" s="362"/>
      <c r="T31" s="362"/>
      <c r="U31" s="362"/>
      <c r="V31" s="362"/>
      <c r="W31" s="112"/>
      <c r="X31" s="112"/>
      <c r="Y31" s="11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row>
    <row r="32" spans="1:69" ht="15.95" customHeight="1" x14ac:dyDescent="0.25">
      <c r="C32" s="362" t="s">
        <v>302</v>
      </c>
      <c r="D32" s="362"/>
      <c r="E32" s="362"/>
      <c r="F32" s="363">
        <v>44321</v>
      </c>
      <c r="G32" s="362"/>
      <c r="H32" s="362"/>
      <c r="I32" s="362"/>
      <c r="J32" s="362"/>
      <c r="K32" s="362">
        <v>0.75</v>
      </c>
      <c r="L32" s="362"/>
      <c r="M32" s="362"/>
      <c r="N32" s="362"/>
      <c r="O32" s="362"/>
      <c r="P32" s="362"/>
      <c r="Q32" s="362"/>
      <c r="R32" s="362"/>
      <c r="S32" s="362"/>
      <c r="T32" s="362"/>
      <c r="U32" s="362"/>
      <c r="V32" s="362"/>
      <c r="W32" s="112"/>
      <c r="X32" s="112"/>
      <c r="Y32" s="11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102"/>
      <c r="BF32" s="102"/>
      <c r="BG32" s="102"/>
      <c r="BH32" s="102"/>
      <c r="BI32" s="102"/>
      <c r="BJ32" s="102"/>
      <c r="BK32" s="102"/>
      <c r="BL32" s="102"/>
      <c r="BM32" s="102"/>
      <c r="BN32" s="102"/>
      <c r="BO32" s="102"/>
      <c r="BP32" s="102"/>
      <c r="BQ32" s="102"/>
    </row>
    <row r="33" spans="1:69" ht="15.95" customHeight="1" x14ac:dyDescent="0.25">
      <c r="C33" s="362" t="s">
        <v>291</v>
      </c>
      <c r="D33" s="362"/>
      <c r="E33" s="362"/>
      <c r="F33" s="363">
        <v>44321</v>
      </c>
      <c r="G33" s="362"/>
      <c r="H33" s="362"/>
      <c r="I33" s="362"/>
      <c r="J33" s="362"/>
      <c r="K33" s="362"/>
      <c r="L33" s="362"/>
      <c r="M33" s="362"/>
      <c r="N33" s="362">
        <v>0.75</v>
      </c>
      <c r="O33" s="362"/>
      <c r="P33" s="362"/>
      <c r="Q33" s="362"/>
      <c r="R33" s="362"/>
      <c r="S33" s="362"/>
      <c r="T33" s="362"/>
      <c r="U33" s="362"/>
      <c r="V33" s="362"/>
      <c r="W33" s="112"/>
      <c r="X33" s="112"/>
      <c r="Y33" s="11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102"/>
      <c r="BF33" s="102"/>
      <c r="BG33" s="102"/>
      <c r="BH33" s="102"/>
      <c r="BI33" s="102"/>
      <c r="BJ33" s="102"/>
      <c r="BK33" s="102"/>
      <c r="BL33" s="102"/>
      <c r="BM33" s="102"/>
      <c r="BN33" s="102"/>
      <c r="BO33" s="102"/>
      <c r="BP33" s="102"/>
      <c r="BQ33" s="102"/>
    </row>
    <row r="34" spans="1:69" ht="15.95" customHeight="1" x14ac:dyDescent="0.25">
      <c r="C34" s="362" t="s">
        <v>292</v>
      </c>
      <c r="D34" s="362"/>
      <c r="E34" s="362"/>
      <c r="F34" s="363">
        <v>44321</v>
      </c>
      <c r="G34" s="362"/>
      <c r="H34" s="362"/>
      <c r="I34" s="362"/>
      <c r="J34" s="362"/>
      <c r="K34" s="362"/>
      <c r="L34" s="362"/>
      <c r="M34" s="362"/>
      <c r="N34" s="362">
        <v>1.5</v>
      </c>
      <c r="O34" s="362"/>
      <c r="P34" s="362"/>
      <c r="Q34" s="362"/>
      <c r="R34" s="362"/>
      <c r="S34" s="362"/>
      <c r="T34" s="362"/>
      <c r="U34" s="362"/>
      <c r="V34" s="362"/>
      <c r="W34" s="112"/>
      <c r="X34" s="112"/>
      <c r="Y34" s="11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102"/>
      <c r="BF34" s="102"/>
      <c r="BG34" s="102"/>
      <c r="BH34" s="102"/>
      <c r="BI34" s="102"/>
      <c r="BJ34" s="102"/>
      <c r="BK34" s="102"/>
      <c r="BL34" s="102"/>
      <c r="BM34" s="102"/>
      <c r="BN34" s="102"/>
      <c r="BO34" s="102"/>
      <c r="BP34" s="102"/>
      <c r="BQ34" s="102"/>
    </row>
    <row r="35" spans="1:69" ht="15.95" customHeight="1" x14ac:dyDescent="0.25">
      <c r="C35" s="362" t="s">
        <v>291</v>
      </c>
      <c r="D35" s="362"/>
      <c r="E35" s="362"/>
      <c r="F35" s="363">
        <v>44322</v>
      </c>
      <c r="G35" s="362"/>
      <c r="H35" s="362"/>
      <c r="I35" s="362"/>
      <c r="J35" s="362"/>
      <c r="K35" s="362"/>
      <c r="L35" s="362"/>
      <c r="M35" s="362"/>
      <c r="N35" s="362"/>
      <c r="O35" s="362"/>
      <c r="P35" s="362"/>
      <c r="Q35" s="362">
        <v>1</v>
      </c>
      <c r="R35" s="362"/>
      <c r="S35" s="362"/>
      <c r="T35" s="362">
        <v>0.15</v>
      </c>
      <c r="U35" s="362"/>
      <c r="V35" s="362"/>
      <c r="W35" s="112"/>
      <c r="X35" s="112"/>
      <c r="Y35" s="11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102"/>
      <c r="BF35" s="102"/>
      <c r="BG35" s="102"/>
      <c r="BH35" s="102"/>
      <c r="BI35" s="102"/>
      <c r="BJ35" s="102"/>
      <c r="BK35" s="102"/>
      <c r="BL35" s="102"/>
      <c r="BM35" s="102"/>
      <c r="BN35" s="102"/>
      <c r="BO35" s="102"/>
      <c r="BP35" s="102"/>
      <c r="BQ35" s="102"/>
    </row>
    <row r="36" spans="1:69" ht="15.95" customHeight="1" x14ac:dyDescent="0.25">
      <c r="C36" s="362" t="s">
        <v>292</v>
      </c>
      <c r="D36" s="362"/>
      <c r="E36" s="362"/>
      <c r="F36" s="363">
        <v>44322</v>
      </c>
      <c r="G36" s="362"/>
      <c r="H36" s="362"/>
      <c r="I36" s="362"/>
      <c r="J36" s="362"/>
      <c r="K36" s="362"/>
      <c r="L36" s="362"/>
      <c r="M36" s="362"/>
      <c r="N36" s="362"/>
      <c r="O36" s="362"/>
      <c r="P36" s="362"/>
      <c r="Q36" s="362">
        <v>1</v>
      </c>
      <c r="R36" s="362"/>
      <c r="S36" s="362"/>
      <c r="T36" s="362">
        <v>0.15</v>
      </c>
      <c r="U36" s="362"/>
      <c r="V36" s="362"/>
      <c r="W36" s="112"/>
      <c r="X36" s="112"/>
      <c r="Y36" s="11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102"/>
      <c r="BF36" s="102"/>
      <c r="BG36" s="102"/>
      <c r="BH36" s="102"/>
      <c r="BI36" s="102"/>
      <c r="BJ36" s="102"/>
      <c r="BK36" s="102"/>
      <c r="BL36" s="102"/>
      <c r="BM36" s="102"/>
      <c r="BN36" s="102"/>
      <c r="BO36" s="102"/>
      <c r="BP36" s="102"/>
      <c r="BQ36" s="102"/>
    </row>
    <row r="37" spans="1:69" ht="15.95" customHeight="1" x14ac:dyDescent="0.25">
      <c r="C37" s="362" t="s">
        <v>300</v>
      </c>
      <c r="D37" s="362"/>
      <c r="E37" s="362"/>
      <c r="F37" s="363">
        <v>44322</v>
      </c>
      <c r="G37" s="362"/>
      <c r="H37" s="362"/>
      <c r="I37" s="362"/>
      <c r="J37" s="362"/>
      <c r="K37" s="362"/>
      <c r="L37" s="362"/>
      <c r="M37" s="362"/>
      <c r="N37" s="362">
        <v>0.5</v>
      </c>
      <c r="O37" s="362"/>
      <c r="P37" s="362"/>
      <c r="Q37" s="362"/>
      <c r="R37" s="362"/>
      <c r="S37" s="362"/>
      <c r="T37" s="362"/>
      <c r="U37" s="362"/>
      <c r="V37" s="362"/>
      <c r="W37" s="112"/>
      <c r="X37" s="112"/>
      <c r="Y37" s="11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102"/>
      <c r="BF37" s="102"/>
      <c r="BG37" s="102"/>
      <c r="BH37" s="102"/>
      <c r="BI37" s="102"/>
      <c r="BJ37" s="102"/>
      <c r="BK37" s="102"/>
      <c r="BL37" s="102"/>
      <c r="BM37" s="102"/>
      <c r="BN37" s="102"/>
      <c r="BO37" s="102"/>
      <c r="BP37" s="102"/>
      <c r="BQ37" s="102"/>
    </row>
    <row r="38" spans="1:69" ht="15.95" customHeight="1" x14ac:dyDescent="0.25">
      <c r="C38" s="362" t="s">
        <v>300</v>
      </c>
      <c r="D38" s="362"/>
      <c r="E38" s="362"/>
      <c r="F38" s="363">
        <v>44323</v>
      </c>
      <c r="G38" s="362"/>
      <c r="H38" s="362"/>
      <c r="I38" s="362"/>
      <c r="J38" s="362"/>
      <c r="K38" s="362"/>
      <c r="L38" s="362"/>
      <c r="M38" s="362"/>
      <c r="N38" s="364">
        <v>1.25</v>
      </c>
      <c r="O38" s="365"/>
      <c r="P38" s="366"/>
      <c r="Q38" s="362">
        <v>0.25</v>
      </c>
      <c r="R38" s="362"/>
      <c r="S38" s="362"/>
      <c r="T38" s="362">
        <v>0.15</v>
      </c>
      <c r="U38" s="362"/>
      <c r="V38" s="362"/>
      <c r="W38" s="112"/>
      <c r="X38" s="112"/>
      <c r="Y38" s="11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c r="BA38" s="102"/>
      <c r="BB38" s="102"/>
      <c r="BC38" s="102"/>
      <c r="BD38" s="102"/>
      <c r="BE38" s="102"/>
      <c r="BF38" s="102"/>
      <c r="BG38" s="102"/>
      <c r="BH38" s="102"/>
      <c r="BI38" s="102"/>
      <c r="BJ38" s="102"/>
      <c r="BK38" s="102"/>
      <c r="BL38" s="102"/>
      <c r="BM38" s="102"/>
      <c r="BN38" s="102"/>
      <c r="BO38" s="102"/>
      <c r="BP38" s="102"/>
      <c r="BQ38" s="102"/>
    </row>
    <row r="39" spans="1:69" ht="15.95" customHeight="1" x14ac:dyDescent="0.25">
      <c r="C39" s="362" t="s">
        <v>302</v>
      </c>
      <c r="D39" s="362"/>
      <c r="E39" s="362"/>
      <c r="F39" s="363">
        <v>44323</v>
      </c>
      <c r="G39" s="362"/>
      <c r="H39" s="362"/>
      <c r="I39" s="362"/>
      <c r="J39" s="362"/>
      <c r="K39" s="362"/>
      <c r="L39" s="362"/>
      <c r="M39" s="362"/>
      <c r="N39" s="364">
        <v>1.25</v>
      </c>
      <c r="O39" s="365"/>
      <c r="P39" s="366"/>
      <c r="Q39" s="362">
        <v>0.25</v>
      </c>
      <c r="R39" s="362"/>
      <c r="S39" s="362"/>
      <c r="T39" s="362">
        <v>0.15</v>
      </c>
      <c r="U39" s="362"/>
      <c r="V39" s="362"/>
      <c r="W39" s="112"/>
      <c r="X39" s="112"/>
      <c r="Y39" s="11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02"/>
      <c r="BE39" s="102"/>
      <c r="BF39" s="102"/>
      <c r="BG39" s="102"/>
      <c r="BH39" s="102"/>
      <c r="BI39" s="102"/>
      <c r="BJ39" s="102"/>
      <c r="BK39" s="102"/>
      <c r="BL39" s="102"/>
      <c r="BM39" s="102"/>
      <c r="BN39" s="102"/>
      <c r="BO39" s="102"/>
      <c r="BP39" s="102"/>
      <c r="BQ39" s="102"/>
    </row>
    <row r="40" spans="1:69" ht="15.95" customHeight="1" x14ac:dyDescent="0.25">
      <c r="C40" s="362"/>
      <c r="D40" s="362"/>
      <c r="E40" s="362"/>
      <c r="F40" s="363"/>
      <c r="G40" s="362"/>
      <c r="H40" s="362"/>
      <c r="I40" s="362"/>
      <c r="J40" s="362"/>
      <c r="K40" s="362"/>
      <c r="L40" s="362"/>
      <c r="M40" s="362"/>
      <c r="N40" s="362"/>
      <c r="O40" s="362"/>
      <c r="P40" s="362"/>
      <c r="Q40" s="362"/>
      <c r="R40" s="362"/>
      <c r="S40" s="362"/>
      <c r="T40" s="362"/>
      <c r="U40" s="362"/>
      <c r="V40" s="362"/>
      <c r="W40" s="112"/>
      <c r="X40" s="112"/>
      <c r="Y40" s="11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102"/>
      <c r="BF40" s="102"/>
      <c r="BG40" s="102"/>
      <c r="BH40" s="102"/>
      <c r="BI40" s="102"/>
      <c r="BJ40" s="102"/>
      <c r="BK40" s="102"/>
      <c r="BL40" s="102"/>
      <c r="BM40" s="102"/>
      <c r="BN40" s="102"/>
      <c r="BO40" s="102"/>
      <c r="BP40" s="102"/>
      <c r="BQ40" s="102"/>
    </row>
    <row r="41" spans="1:69" ht="15.95" customHeight="1" x14ac:dyDescent="0.25">
      <c r="A41" s="7" t="s">
        <v>251</v>
      </c>
      <c r="C41" s="382"/>
      <c r="D41" s="382"/>
      <c r="E41" s="382"/>
      <c r="F41" s="382"/>
      <c r="G41" s="382"/>
      <c r="H41" s="382"/>
      <c r="I41" s="382"/>
      <c r="J41" s="382"/>
      <c r="K41" s="382"/>
      <c r="L41" s="382"/>
      <c r="M41" s="382"/>
      <c r="N41" s="382"/>
      <c r="O41" s="382"/>
      <c r="P41" s="382"/>
      <c r="Q41" s="382"/>
      <c r="R41" s="382"/>
      <c r="S41" s="382"/>
      <c r="T41" s="382"/>
      <c r="U41" s="382"/>
      <c r="V41" s="38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102"/>
      <c r="BF41" s="102"/>
      <c r="BG41" s="102"/>
      <c r="BH41" s="102"/>
      <c r="BI41" s="102"/>
      <c r="BJ41" s="102"/>
      <c r="BK41" s="102"/>
      <c r="BL41" s="102"/>
      <c r="BM41" s="102"/>
      <c r="BN41" s="102"/>
      <c r="BO41" s="102"/>
      <c r="BP41" s="102"/>
      <c r="BQ41" s="102"/>
    </row>
    <row r="43" spans="1:69" x14ac:dyDescent="0.2">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c r="AD43" s="149"/>
      <c r="AE43" s="149"/>
      <c r="AF43" s="149"/>
      <c r="AG43" s="149"/>
      <c r="AH43" s="149"/>
      <c r="AI43" s="149"/>
      <c r="AJ43" s="149"/>
      <c r="AK43" s="149"/>
      <c r="AL43" s="149"/>
      <c r="AM43" s="149"/>
      <c r="AN43" s="149"/>
      <c r="AO43" s="149"/>
      <c r="AP43" s="149"/>
      <c r="AQ43" s="149"/>
      <c r="AR43" s="149"/>
      <c r="AS43" s="149"/>
      <c r="AT43" s="149"/>
      <c r="AU43" s="149"/>
      <c r="AV43" s="149"/>
      <c r="AW43" s="149"/>
      <c r="AX43" s="149"/>
      <c r="AY43" s="149"/>
      <c r="AZ43" s="149"/>
      <c r="BA43" s="149"/>
      <c r="BB43" s="149"/>
      <c r="BC43" s="149"/>
      <c r="BD43" s="149"/>
      <c r="BE43" s="149"/>
      <c r="BF43" s="149"/>
      <c r="BG43" s="149"/>
      <c r="BH43" s="149"/>
      <c r="BI43" s="149"/>
      <c r="BJ43" s="149"/>
      <c r="BK43" s="149"/>
      <c r="BL43" s="149"/>
      <c r="BM43" s="149"/>
      <c r="BN43" s="149"/>
      <c r="BO43" s="149"/>
      <c r="BP43" s="149"/>
      <c r="BQ43" s="149"/>
    </row>
    <row r="44" spans="1:69" ht="12.75" customHeight="1" x14ac:dyDescent="0.2">
      <c r="B44" s="15"/>
      <c r="C44" s="15"/>
      <c r="D44" s="15"/>
      <c r="E44" s="15"/>
      <c r="F44" s="15"/>
      <c r="G44" s="15"/>
      <c r="H44" s="15"/>
      <c r="I44" s="15"/>
      <c r="J44" s="15"/>
      <c r="K44" s="15"/>
      <c r="L44" s="15"/>
      <c r="M44" s="15"/>
      <c r="N44" s="15"/>
      <c r="O44" s="15"/>
      <c r="P44" s="15"/>
    </row>
    <row r="45" spans="1:69" ht="12.75" customHeight="1" x14ac:dyDescent="0.2">
      <c r="B45" s="15"/>
      <c r="C45" s="15"/>
      <c r="D45" s="15"/>
      <c r="E45" s="15"/>
      <c r="F45" s="15"/>
      <c r="G45" s="15"/>
      <c r="H45" s="15"/>
      <c r="I45" s="15"/>
      <c r="J45" s="15"/>
      <c r="K45" s="15"/>
      <c r="L45" s="15"/>
      <c r="M45" s="15"/>
      <c r="N45" s="15"/>
      <c r="O45" s="15"/>
      <c r="P45" s="15"/>
    </row>
    <row r="46" spans="1:69" x14ac:dyDescent="0.2">
      <c r="B46" s="15"/>
      <c r="C46" s="15"/>
      <c r="D46" s="15"/>
      <c r="E46" s="15"/>
      <c r="F46" s="15"/>
      <c r="G46" s="15"/>
      <c r="H46" s="15"/>
      <c r="I46" s="15"/>
      <c r="J46" s="15"/>
      <c r="K46" s="15"/>
      <c r="L46" s="15"/>
      <c r="M46" s="15"/>
      <c r="N46" s="15"/>
      <c r="O46" s="15"/>
      <c r="P46" s="15"/>
      <c r="AV46" s="13"/>
      <c r="AW46" s="13"/>
      <c r="AX46" s="13"/>
      <c r="AY46" s="13"/>
      <c r="AZ46" s="13"/>
      <c r="BA46" s="13"/>
      <c r="BB46" s="13"/>
      <c r="BC46" s="13"/>
      <c r="BD46" s="13"/>
      <c r="BE46" s="13"/>
      <c r="BF46" s="13"/>
      <c r="BG46" s="13"/>
      <c r="BH46" s="13"/>
      <c r="BI46" s="13"/>
      <c r="BJ46" s="13"/>
    </row>
    <row r="47" spans="1:69" x14ac:dyDescent="0.2">
      <c r="B47" s="15"/>
      <c r="C47" s="15"/>
      <c r="D47" s="15"/>
      <c r="E47" s="15"/>
      <c r="F47" s="15"/>
      <c r="G47" s="15"/>
      <c r="H47" s="15"/>
      <c r="I47" s="15"/>
      <c r="J47" s="15"/>
      <c r="K47" s="15"/>
      <c r="L47" s="15"/>
      <c r="M47" s="15"/>
      <c r="N47" s="15"/>
      <c r="O47" s="15"/>
      <c r="P47" s="15"/>
      <c r="AV47" s="13"/>
      <c r="AW47" s="13"/>
      <c r="AX47" s="13"/>
      <c r="AY47" s="13"/>
      <c r="AZ47" s="13"/>
      <c r="BA47" s="13"/>
      <c r="BB47" s="13"/>
      <c r="BC47" s="13"/>
      <c r="BD47" s="13"/>
      <c r="BE47" s="13"/>
      <c r="BF47" s="13"/>
      <c r="BG47" s="13"/>
      <c r="BH47" s="13"/>
      <c r="BI47" s="13"/>
      <c r="BJ47" s="13"/>
    </row>
    <row r="48" spans="1:69" x14ac:dyDescent="0.2">
      <c r="B48" s="15"/>
      <c r="C48" s="15"/>
      <c r="D48" s="15"/>
      <c r="E48" s="15"/>
      <c r="F48" s="15"/>
      <c r="G48" s="15"/>
      <c r="H48" s="15"/>
      <c r="I48" s="15"/>
      <c r="J48" s="15"/>
      <c r="K48" s="15"/>
      <c r="L48" s="15"/>
      <c r="M48" s="15"/>
      <c r="N48" s="15"/>
      <c r="O48" s="15"/>
      <c r="P48" s="15"/>
      <c r="AV48" s="13"/>
      <c r="AW48" s="13"/>
      <c r="AX48" s="13"/>
      <c r="AY48" s="13"/>
      <c r="AZ48" s="13"/>
      <c r="BA48" s="13"/>
      <c r="BB48" s="13"/>
      <c r="BC48" s="13"/>
      <c r="BD48" s="13"/>
      <c r="BE48" s="13"/>
      <c r="BF48" s="13"/>
      <c r="BG48" s="13"/>
      <c r="BH48" s="13"/>
      <c r="BI48" s="13"/>
      <c r="BJ48" s="13"/>
    </row>
    <row r="49" spans="2:62" x14ac:dyDescent="0.2">
      <c r="B49" s="15"/>
      <c r="C49" s="15"/>
      <c r="D49" s="15"/>
      <c r="E49" s="15"/>
      <c r="F49" s="15"/>
      <c r="G49" s="15"/>
      <c r="H49" s="15"/>
      <c r="I49" s="15"/>
      <c r="J49" s="15"/>
      <c r="K49" s="15"/>
      <c r="L49" s="15"/>
      <c r="M49" s="15"/>
      <c r="N49" s="15"/>
      <c r="O49" s="15"/>
      <c r="P49" s="15"/>
      <c r="AV49" s="13"/>
      <c r="AW49" s="13"/>
      <c r="AX49" s="13"/>
      <c r="AY49" s="13"/>
      <c r="AZ49" s="13"/>
      <c r="BA49" s="13"/>
      <c r="BB49" s="13"/>
      <c r="BC49" s="13"/>
      <c r="BD49" s="13"/>
      <c r="BE49" s="13"/>
      <c r="BF49" s="13"/>
      <c r="BG49" s="13"/>
      <c r="BH49" s="13"/>
      <c r="BI49" s="13"/>
      <c r="BJ49" s="13"/>
    </row>
    <row r="50" spans="2:62" x14ac:dyDescent="0.2">
      <c r="B50" s="15"/>
      <c r="C50" s="15"/>
      <c r="D50" s="15"/>
      <c r="E50" s="15"/>
      <c r="F50" s="15"/>
      <c r="G50" s="15"/>
      <c r="H50" s="15"/>
      <c r="I50" s="15"/>
      <c r="J50" s="15"/>
      <c r="K50" s="15"/>
      <c r="L50" s="15"/>
      <c r="M50" s="15"/>
      <c r="N50" s="15"/>
      <c r="O50" s="15"/>
      <c r="P50" s="15"/>
      <c r="AV50" s="13"/>
      <c r="AW50" s="13"/>
      <c r="AX50" s="13"/>
      <c r="AY50" s="13"/>
      <c r="AZ50" s="13"/>
      <c r="BA50" s="13"/>
      <c r="BB50" s="13"/>
      <c r="BC50" s="13"/>
      <c r="BD50" s="13"/>
    </row>
    <row r="51" spans="2:62" ht="12.75" customHeight="1" x14ac:dyDescent="0.2">
      <c r="B51" s="15"/>
      <c r="C51" s="15"/>
      <c r="D51" s="15"/>
      <c r="E51" s="15"/>
      <c r="F51" s="15"/>
      <c r="G51" s="15"/>
      <c r="H51" s="15"/>
      <c r="I51" s="15"/>
      <c r="J51" s="15"/>
      <c r="K51" s="15"/>
      <c r="L51" s="15"/>
      <c r="M51" s="15"/>
      <c r="N51" s="15"/>
      <c r="O51" s="15"/>
      <c r="P51" s="15"/>
    </row>
    <row r="52" spans="2:62" x14ac:dyDescent="0.2">
      <c r="B52" s="15"/>
      <c r="C52" s="15"/>
      <c r="D52" s="15"/>
      <c r="E52" s="15"/>
      <c r="F52" s="15"/>
      <c r="G52" s="15"/>
      <c r="H52" s="15"/>
      <c r="I52" s="15"/>
      <c r="J52" s="15"/>
      <c r="K52" s="15"/>
      <c r="L52" s="15"/>
      <c r="M52" s="15"/>
      <c r="N52" s="15"/>
      <c r="O52" s="15"/>
      <c r="P52" s="15"/>
    </row>
    <row r="53" spans="2:62" x14ac:dyDescent="0.2">
      <c r="B53" s="15"/>
      <c r="C53" s="15"/>
      <c r="D53" s="15"/>
      <c r="E53" s="15"/>
      <c r="F53" s="15"/>
      <c r="G53" s="15"/>
      <c r="H53" s="15"/>
      <c r="I53" s="15"/>
      <c r="J53" s="15"/>
      <c r="K53" s="15"/>
      <c r="L53" s="15"/>
      <c r="M53" s="15"/>
      <c r="N53" s="15"/>
      <c r="O53" s="15"/>
      <c r="P53" s="15"/>
    </row>
    <row r="55" spans="2:62" x14ac:dyDescent="0.2">
      <c r="B55" s="25"/>
      <c r="C55" s="25"/>
      <c r="D55" s="25"/>
      <c r="E55" s="25"/>
      <c r="F55" s="25"/>
      <c r="G55" s="25"/>
      <c r="H55" s="25"/>
      <c r="I55" s="25"/>
      <c r="J55" s="25"/>
      <c r="K55" s="25"/>
      <c r="L55" s="25"/>
      <c r="M55" s="25"/>
      <c r="N55" s="25"/>
    </row>
    <row r="57" spans="2:62" x14ac:dyDescent="0.2">
      <c r="B57" s="14"/>
      <c r="C57" s="14"/>
      <c r="D57" s="14"/>
      <c r="E57" s="21"/>
      <c r="F57" s="14"/>
      <c r="G57" s="14"/>
      <c r="H57" s="14"/>
      <c r="I57" s="14"/>
    </row>
    <row r="58" spans="2:62" x14ac:dyDescent="0.2">
      <c r="E58" s="19"/>
    </row>
    <row r="59" spans="2:62" x14ac:dyDescent="0.2">
      <c r="E59" s="19"/>
    </row>
  </sheetData>
  <sheetProtection algorithmName="SHA-512" hashValue="aDoX1XY+/tJNEd2RSjMr9v/dNKNk34xVySTD+chsM6Wq9tIpzBB8KwfRWr7xYAIjOqTuy7Le6Fa4t1hUeb0vkA==" saltValue="EWkdlab9cAd4n3ZFDZ/olQ==" spinCount="100000" sheet="1" objects="1" scenarios="1" formatCells="0" formatRows="0" selectLockedCells="1" autoFilter="0"/>
  <autoFilter ref="C28:V28">
    <filterColumn colId="0" showButton="0"/>
    <filterColumn colId="1" showButton="0"/>
    <filterColumn colId="3" showButton="0"/>
    <filterColumn colId="4" showButton="0"/>
    <filterColumn colId="5" showButton="0"/>
    <filterColumn colId="6" showButton="0"/>
    <filterColumn colId="8" showButton="0"/>
    <filterColumn colId="9" showButton="0"/>
    <filterColumn colId="11" showButton="0"/>
    <filterColumn colId="12" showButton="0"/>
    <filterColumn colId="14" showButton="0"/>
    <filterColumn colId="15" showButton="0"/>
    <filterColumn colId="17" showButton="0"/>
    <filterColumn colId="18" showButton="0"/>
  </autoFilter>
  <mergeCells count="244">
    <mergeCell ref="AQ10:AS10"/>
    <mergeCell ref="AT10:AV10"/>
    <mergeCell ref="AW10:AY10"/>
    <mergeCell ref="AZ10:BB10"/>
    <mergeCell ref="BC10:BE10"/>
    <mergeCell ref="BF10:BH10"/>
    <mergeCell ref="BI10:BK10"/>
    <mergeCell ref="BL10:BN10"/>
    <mergeCell ref="BO10:BQ10"/>
    <mergeCell ref="C10:E10"/>
    <mergeCell ref="F10:U10"/>
    <mergeCell ref="V10:X10"/>
    <mergeCell ref="Y10:AA10"/>
    <mergeCell ref="AB10:AD10"/>
    <mergeCell ref="AE10:AG10"/>
    <mergeCell ref="AH10:AJ10"/>
    <mergeCell ref="AK10:AM10"/>
    <mergeCell ref="AN10:AP10"/>
    <mergeCell ref="C2:P2"/>
    <mergeCell ref="C4:U4"/>
    <mergeCell ref="AN7:AP7"/>
    <mergeCell ref="AQ7:AS7"/>
    <mergeCell ref="AT7:AV7"/>
    <mergeCell ref="AW7:AY7"/>
    <mergeCell ref="AZ7:BB7"/>
    <mergeCell ref="AK5:AY5"/>
    <mergeCell ref="V6:X6"/>
    <mergeCell ref="Y6:AA6"/>
    <mergeCell ref="AB6:AD6"/>
    <mergeCell ref="AE6:AG6"/>
    <mergeCell ref="AH6:AJ6"/>
    <mergeCell ref="AN6:AP6"/>
    <mergeCell ref="AQ6:AS6"/>
    <mergeCell ref="AT6:AV6"/>
    <mergeCell ref="AW6:AY6"/>
    <mergeCell ref="V7:X7"/>
    <mergeCell ref="F7:U7"/>
    <mergeCell ref="C5:E6"/>
    <mergeCell ref="F5:U6"/>
    <mergeCell ref="V5:AJ5"/>
    <mergeCell ref="V4:BQ4"/>
    <mergeCell ref="C7:E7"/>
    <mergeCell ref="AZ5:BQ5"/>
    <mergeCell ref="BI6:BK6"/>
    <mergeCell ref="BL6:BN6"/>
    <mergeCell ref="BL7:BN7"/>
    <mergeCell ref="BO6:BQ6"/>
    <mergeCell ref="BI7:BK7"/>
    <mergeCell ref="BO7:BQ7"/>
    <mergeCell ref="BF7:BH7"/>
    <mergeCell ref="AZ6:BB6"/>
    <mergeCell ref="BC7:BE7"/>
    <mergeCell ref="BC6:BE6"/>
    <mergeCell ref="BF6:BH6"/>
    <mergeCell ref="AK6:AM6"/>
    <mergeCell ref="AK7:AM7"/>
    <mergeCell ref="AH7:AJ7"/>
    <mergeCell ref="AE7:AG7"/>
    <mergeCell ref="AB7:AD7"/>
    <mergeCell ref="Y7:AA7"/>
    <mergeCell ref="AP15:AT15"/>
    <mergeCell ref="AF15:AJ15"/>
    <mergeCell ref="V15:Z20"/>
    <mergeCell ref="AA16:AE16"/>
    <mergeCell ref="AF16:AJ16"/>
    <mergeCell ref="AK16:AO16"/>
    <mergeCell ref="AP16:AT16"/>
    <mergeCell ref="AA15:AE15"/>
    <mergeCell ref="AA20:AE20"/>
    <mergeCell ref="AF20:AJ20"/>
    <mergeCell ref="AP18:AT18"/>
    <mergeCell ref="AF17:AJ17"/>
    <mergeCell ref="AF18:AJ18"/>
    <mergeCell ref="AP20:AT20"/>
    <mergeCell ref="AA19:AE19"/>
    <mergeCell ref="AP19:AT19"/>
    <mergeCell ref="AK17:AO17"/>
    <mergeCell ref="AP17:AT17"/>
    <mergeCell ref="C43:BQ43"/>
    <mergeCell ref="C28:E28"/>
    <mergeCell ref="F29:J29"/>
    <mergeCell ref="K29:M29"/>
    <mergeCell ref="N29:P29"/>
    <mergeCell ref="Q29:S29"/>
    <mergeCell ref="T29:V29"/>
    <mergeCell ref="F28:J28"/>
    <mergeCell ref="K28:M28"/>
    <mergeCell ref="N28:P28"/>
    <mergeCell ref="Q28:S28"/>
    <mergeCell ref="T28:V28"/>
    <mergeCell ref="C41:V41"/>
    <mergeCell ref="C30:E30"/>
    <mergeCell ref="F30:J30"/>
    <mergeCell ref="K30:M30"/>
    <mergeCell ref="N30:P30"/>
    <mergeCell ref="Q30:S30"/>
    <mergeCell ref="T30:V30"/>
    <mergeCell ref="C31:E31"/>
    <mergeCell ref="F31:J31"/>
    <mergeCell ref="K31:M31"/>
    <mergeCell ref="N31:P31"/>
    <mergeCell ref="Q31:S31"/>
    <mergeCell ref="C11:BQ11"/>
    <mergeCell ref="AA14:AE14"/>
    <mergeCell ref="AF14:AJ14"/>
    <mergeCell ref="C23:P23"/>
    <mergeCell ref="C29:E29"/>
    <mergeCell ref="C14:E14"/>
    <mergeCell ref="F14:U14"/>
    <mergeCell ref="V14:Z14"/>
    <mergeCell ref="F20:U20"/>
    <mergeCell ref="C18:E18"/>
    <mergeCell ref="C19:E19"/>
    <mergeCell ref="F18:U18"/>
    <mergeCell ref="F19:U19"/>
    <mergeCell ref="C16:E16"/>
    <mergeCell ref="F16:U16"/>
    <mergeCell ref="AP14:AT14"/>
    <mergeCell ref="AK14:AO14"/>
    <mergeCell ref="AK15:AO15"/>
    <mergeCell ref="AK18:AO18"/>
    <mergeCell ref="AK19:AO19"/>
    <mergeCell ref="AK20:AO20"/>
    <mergeCell ref="C15:E15"/>
    <mergeCell ref="AK21:AO21"/>
    <mergeCell ref="F17:U17"/>
    <mergeCell ref="BO12:BQ12"/>
    <mergeCell ref="AB12:AD12"/>
    <mergeCell ref="AE12:AG12"/>
    <mergeCell ref="AH12:AJ12"/>
    <mergeCell ref="AK12:AM12"/>
    <mergeCell ref="AN12:AP12"/>
    <mergeCell ref="AQ12:AS12"/>
    <mergeCell ref="AT12:AV12"/>
    <mergeCell ref="AW12:AY12"/>
    <mergeCell ref="AZ12:BB12"/>
    <mergeCell ref="BC12:BE12"/>
    <mergeCell ref="BF12:BH12"/>
    <mergeCell ref="BI12:BK12"/>
    <mergeCell ref="AF19:AJ19"/>
    <mergeCell ref="C17:E17"/>
    <mergeCell ref="F15:U15"/>
    <mergeCell ref="AP21:AT21"/>
    <mergeCell ref="C21:Z21"/>
    <mergeCell ref="AA21:AE21"/>
    <mergeCell ref="C20:E20"/>
    <mergeCell ref="AF21:AJ21"/>
    <mergeCell ref="BL12:BN12"/>
    <mergeCell ref="C12:U12"/>
    <mergeCell ref="V12:X12"/>
    <mergeCell ref="Y12:AA12"/>
    <mergeCell ref="AA17:AE17"/>
    <mergeCell ref="AA18:AE18"/>
    <mergeCell ref="C8:E8"/>
    <mergeCell ref="F8:U8"/>
    <mergeCell ref="V8:X8"/>
    <mergeCell ref="Y8:AA8"/>
    <mergeCell ref="AB8:AD8"/>
    <mergeCell ref="AE8:AG8"/>
    <mergeCell ref="AH8:AJ8"/>
    <mergeCell ref="AK8:AM8"/>
    <mergeCell ref="AN8:AP8"/>
    <mergeCell ref="AQ8:AS8"/>
    <mergeCell ref="AT8:AV8"/>
    <mergeCell ref="AW8:AY8"/>
    <mergeCell ref="AZ8:BB8"/>
    <mergeCell ref="BC8:BE8"/>
    <mergeCell ref="BF8:BH8"/>
    <mergeCell ref="BI8:BK8"/>
    <mergeCell ref="BL8:BN8"/>
    <mergeCell ref="BO8:BQ8"/>
    <mergeCell ref="C9:E9"/>
    <mergeCell ref="F9:U9"/>
    <mergeCell ref="V9:X9"/>
    <mergeCell ref="Y9:AA9"/>
    <mergeCell ref="AB9:AD9"/>
    <mergeCell ref="AE9:AG9"/>
    <mergeCell ref="AH9:AJ9"/>
    <mergeCell ref="AK9:AM9"/>
    <mergeCell ref="AN9:AP9"/>
    <mergeCell ref="AQ9:AS9"/>
    <mergeCell ref="AT9:AV9"/>
    <mergeCell ref="AW9:AY9"/>
    <mergeCell ref="AZ9:BB9"/>
    <mergeCell ref="BC9:BE9"/>
    <mergeCell ref="BF9:BH9"/>
    <mergeCell ref="BI9:BK9"/>
    <mergeCell ref="BL9:BN9"/>
    <mergeCell ref="BO9:BQ9"/>
    <mergeCell ref="T31:V31"/>
    <mergeCell ref="C32:E32"/>
    <mergeCell ref="F32:J32"/>
    <mergeCell ref="K32:M32"/>
    <mergeCell ref="N32:P32"/>
    <mergeCell ref="Q32:S32"/>
    <mergeCell ref="T32:V32"/>
    <mergeCell ref="C33:E33"/>
    <mergeCell ref="F33:J33"/>
    <mergeCell ref="K33:M33"/>
    <mergeCell ref="N33:P33"/>
    <mergeCell ref="Q33:S33"/>
    <mergeCell ref="T33:V33"/>
    <mergeCell ref="C34:E34"/>
    <mergeCell ref="F34:J34"/>
    <mergeCell ref="K34:M34"/>
    <mergeCell ref="N34:P34"/>
    <mergeCell ref="Q34:S34"/>
    <mergeCell ref="T34:V34"/>
    <mergeCell ref="C35:E35"/>
    <mergeCell ref="F35:J35"/>
    <mergeCell ref="K35:M35"/>
    <mergeCell ref="N35:P35"/>
    <mergeCell ref="Q35:S35"/>
    <mergeCell ref="T35:V35"/>
    <mergeCell ref="C36:E36"/>
    <mergeCell ref="F36:J36"/>
    <mergeCell ref="K36:M36"/>
    <mergeCell ref="N36:P36"/>
    <mergeCell ref="Q36:S36"/>
    <mergeCell ref="T36:V36"/>
    <mergeCell ref="C37:E37"/>
    <mergeCell ref="F37:J37"/>
    <mergeCell ref="K37:M37"/>
    <mergeCell ref="N37:P37"/>
    <mergeCell ref="Q37:S37"/>
    <mergeCell ref="T37:V37"/>
    <mergeCell ref="C40:E40"/>
    <mergeCell ref="F40:J40"/>
    <mergeCell ref="K40:M40"/>
    <mergeCell ref="N40:P40"/>
    <mergeCell ref="Q40:S40"/>
    <mergeCell ref="T40:V40"/>
    <mergeCell ref="C38:E38"/>
    <mergeCell ref="F38:J38"/>
    <mergeCell ref="K38:M38"/>
    <mergeCell ref="N38:P38"/>
    <mergeCell ref="Q38:S38"/>
    <mergeCell ref="T38:V38"/>
    <mergeCell ref="C39:E39"/>
    <mergeCell ref="F39:J39"/>
    <mergeCell ref="K39:M39"/>
    <mergeCell ref="N39:P39"/>
    <mergeCell ref="Q39:S39"/>
    <mergeCell ref="T39:V3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5" r:id="rId4" name="Button 5">
              <controlPr defaultSize="0" print="0" autoFill="0" autoPict="0" macro="[0]!insertarRegistroFecha">
                <anchor moveWithCells="1" sizeWithCells="1">
                  <from>
                    <xdr:col>3</xdr:col>
                    <xdr:colOff>28575</xdr:colOff>
                    <xdr:row>24</xdr:row>
                    <xdr:rowOff>9525</xdr:rowOff>
                  </from>
                  <to>
                    <xdr:col>9</xdr:col>
                    <xdr:colOff>47625</xdr:colOff>
                    <xdr:row>26</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9" tint="0.39997558519241921"/>
  </sheetPr>
  <dimension ref="A5:BU33"/>
  <sheetViews>
    <sheetView showGridLines="0" workbookViewId="0">
      <pane ySplit="6" topLeftCell="A7" activePane="bottomLeft" state="frozen"/>
      <selection pane="bottomLeft" activeCell="AE10" sqref="AE10:AS10"/>
    </sheetView>
  </sheetViews>
  <sheetFormatPr baseColWidth="10" defaultColWidth="2.7109375" defaultRowHeight="12.75" x14ac:dyDescent="0.2"/>
  <cols>
    <col min="1" max="1" width="1.7109375" style="1" customWidth="1"/>
    <col min="2" max="2" width="1.28515625" style="1" customWidth="1"/>
    <col min="3" max="29" width="2.7109375" style="1"/>
    <col min="30" max="30" width="2.7109375" style="1" customWidth="1"/>
    <col min="31" max="44" width="2.7109375" style="1"/>
    <col min="45" max="45" width="44.5703125" style="1" customWidth="1"/>
    <col min="46" max="47" width="2.7109375" style="1"/>
    <col min="48" max="48" width="4" style="1" customWidth="1"/>
    <col min="49" max="16384" width="2.7109375" style="1"/>
  </cols>
  <sheetData>
    <row r="5" spans="1:73" x14ac:dyDescent="0.2">
      <c r="C5" s="20"/>
      <c r="D5" s="20"/>
      <c r="E5" s="20"/>
      <c r="F5" s="20"/>
      <c r="G5" s="20"/>
      <c r="H5" s="20"/>
      <c r="I5" s="20"/>
      <c r="J5" s="20"/>
      <c r="K5" s="20"/>
      <c r="L5" s="20"/>
      <c r="M5" s="20"/>
      <c r="N5" s="20"/>
      <c r="O5" s="20"/>
      <c r="P5" s="20"/>
      <c r="Q5" s="20"/>
      <c r="R5" s="20"/>
      <c r="S5" s="20"/>
      <c r="T5" s="20"/>
      <c r="U5" s="20"/>
      <c r="V5" s="20"/>
      <c r="W5" s="20"/>
      <c r="X5" s="20"/>
      <c r="Y5" s="20"/>
      <c r="Z5" s="20"/>
      <c r="AA5" s="20"/>
    </row>
    <row r="6" spans="1:73" ht="15" x14ac:dyDescent="0.25">
      <c r="A6" s="7" t="s">
        <v>162</v>
      </c>
      <c r="C6" s="411" t="s">
        <v>31</v>
      </c>
      <c r="D6" s="411"/>
      <c r="E6" s="411"/>
      <c r="F6" s="412" t="s">
        <v>155</v>
      </c>
      <c r="G6" s="413"/>
      <c r="H6" s="413"/>
      <c r="I6" s="413"/>
      <c r="J6" s="413"/>
      <c r="K6" s="413"/>
      <c r="L6" s="413"/>
      <c r="M6" s="413"/>
      <c r="N6" s="413"/>
      <c r="O6" s="414"/>
      <c r="P6" s="411" t="s">
        <v>223</v>
      </c>
      <c r="Q6" s="411"/>
      <c r="R6" s="411"/>
      <c r="S6" s="411"/>
      <c r="T6" s="411"/>
      <c r="U6" s="411"/>
      <c r="V6" s="411"/>
      <c r="W6" s="411"/>
      <c r="X6" s="411"/>
      <c r="Y6" s="411"/>
      <c r="Z6" s="411"/>
      <c r="AA6" s="411"/>
      <c r="AB6" s="411"/>
      <c r="AC6" s="411"/>
      <c r="AD6" s="411"/>
      <c r="AE6" s="411" t="s">
        <v>107</v>
      </c>
      <c r="AF6" s="411"/>
      <c r="AG6" s="411"/>
      <c r="AH6" s="411"/>
      <c r="AI6" s="411"/>
      <c r="AJ6" s="411"/>
      <c r="AK6" s="411"/>
      <c r="AL6" s="411"/>
      <c r="AM6" s="411"/>
      <c r="AN6" s="411"/>
      <c r="AO6" s="411"/>
      <c r="AP6" s="411"/>
      <c r="AQ6" s="411"/>
      <c r="AR6" s="411"/>
      <c r="AS6" s="411"/>
      <c r="AT6" s="411" t="s">
        <v>21</v>
      </c>
      <c r="AU6" s="411"/>
      <c r="AV6" s="411"/>
      <c r="AW6" s="411" t="s">
        <v>108</v>
      </c>
      <c r="AX6" s="411"/>
      <c r="AY6" s="411"/>
      <c r="AZ6" s="411"/>
      <c r="BA6" s="411"/>
    </row>
    <row r="7" spans="1:73" s="4" customFormat="1" ht="51.75" customHeight="1" x14ac:dyDescent="0.25">
      <c r="A7" s="32" t="s">
        <v>281</v>
      </c>
      <c r="C7" s="394" t="s">
        <v>291</v>
      </c>
      <c r="D7" s="395"/>
      <c r="E7" s="396"/>
      <c r="F7" s="397" t="str">
        <f>IF(C7&lt;&gt;"",VLOOKUP(C7,'Info General'!$C$24:$F$6999,4,0),"")</f>
        <v>Acceso a la plataforma Travelocity</v>
      </c>
      <c r="G7" s="398"/>
      <c r="H7" s="398"/>
      <c r="I7" s="398"/>
      <c r="J7" s="398"/>
      <c r="K7" s="398"/>
      <c r="L7" s="398"/>
      <c r="M7" s="398"/>
      <c r="N7" s="398"/>
      <c r="O7" s="399"/>
      <c r="P7" s="394" t="s">
        <v>152</v>
      </c>
      <c r="Q7" s="395"/>
      <c r="R7" s="395"/>
      <c r="S7" s="395"/>
      <c r="T7" s="395"/>
      <c r="U7" s="395"/>
      <c r="V7" s="395"/>
      <c r="W7" s="395"/>
      <c r="X7" s="395"/>
      <c r="Y7" s="395"/>
      <c r="Z7" s="395"/>
      <c r="AA7" s="395"/>
      <c r="AB7" s="395"/>
      <c r="AC7" s="395"/>
      <c r="AD7" s="396"/>
      <c r="AE7" s="400" t="s">
        <v>378</v>
      </c>
      <c r="AF7" s="401"/>
      <c r="AG7" s="401"/>
      <c r="AH7" s="401"/>
      <c r="AI7" s="401"/>
      <c r="AJ7" s="401"/>
      <c r="AK7" s="401"/>
      <c r="AL7" s="401"/>
      <c r="AM7" s="401"/>
      <c r="AN7" s="401"/>
      <c r="AO7" s="401"/>
      <c r="AP7" s="401"/>
      <c r="AQ7" s="401"/>
      <c r="AR7" s="401"/>
      <c r="AS7" s="402"/>
      <c r="AT7" s="403">
        <v>13.75</v>
      </c>
      <c r="AU7" s="404"/>
      <c r="AV7" s="405"/>
      <c r="AW7" s="391">
        <v>44320</v>
      </c>
      <c r="AX7" s="392"/>
      <c r="AY7" s="392"/>
      <c r="AZ7" s="392"/>
      <c r="BA7" s="393"/>
    </row>
    <row r="8" spans="1:73" s="4" customFormat="1" ht="48" customHeight="1" x14ac:dyDescent="0.25">
      <c r="A8" s="32"/>
      <c r="C8" s="394" t="s">
        <v>292</v>
      </c>
      <c r="D8" s="395"/>
      <c r="E8" s="396"/>
      <c r="F8" s="397" t="str">
        <f>IF(C8&lt;&gt;"",VLOOKUP(C8,'Info General'!$C$24:$F$6999,4,0),"")</f>
        <v>Busqueda de Actividades turisticas</v>
      </c>
      <c r="G8" s="398"/>
      <c r="H8" s="398"/>
      <c r="I8" s="398"/>
      <c r="J8" s="398"/>
      <c r="K8" s="398"/>
      <c r="L8" s="398"/>
      <c r="M8" s="398"/>
      <c r="N8" s="398"/>
      <c r="O8" s="399"/>
      <c r="P8" s="394" t="s">
        <v>152</v>
      </c>
      <c r="Q8" s="395"/>
      <c r="R8" s="395"/>
      <c r="S8" s="395"/>
      <c r="T8" s="395"/>
      <c r="U8" s="395"/>
      <c r="V8" s="395"/>
      <c r="W8" s="395"/>
      <c r="X8" s="395"/>
      <c r="Y8" s="395"/>
      <c r="Z8" s="395"/>
      <c r="AA8" s="395"/>
      <c r="AB8" s="395"/>
      <c r="AC8" s="395"/>
      <c r="AD8" s="396"/>
      <c r="AE8" s="400" t="s">
        <v>379</v>
      </c>
      <c r="AF8" s="401"/>
      <c r="AG8" s="401"/>
      <c r="AH8" s="401"/>
      <c r="AI8" s="401"/>
      <c r="AJ8" s="401"/>
      <c r="AK8" s="401"/>
      <c r="AL8" s="401"/>
      <c r="AM8" s="401"/>
      <c r="AN8" s="401"/>
      <c r="AO8" s="401"/>
      <c r="AP8" s="401"/>
      <c r="AQ8" s="401"/>
      <c r="AR8" s="401"/>
      <c r="AS8" s="402"/>
      <c r="AT8" s="403">
        <v>14.5</v>
      </c>
      <c r="AU8" s="404"/>
      <c r="AV8" s="405"/>
      <c r="AW8" s="391">
        <v>44321</v>
      </c>
      <c r="AX8" s="392"/>
      <c r="AY8" s="392"/>
      <c r="AZ8" s="392"/>
      <c r="BA8" s="393"/>
    </row>
    <row r="9" spans="1:73" s="4" customFormat="1" ht="57" customHeight="1" x14ac:dyDescent="0.25">
      <c r="A9" s="32"/>
      <c r="C9" s="394" t="s">
        <v>300</v>
      </c>
      <c r="D9" s="395"/>
      <c r="E9" s="396"/>
      <c r="F9" s="397" t="str">
        <f>IF(C9&lt;&gt;"",VLOOKUP(C9,'Info General'!$C$24:$F$6999,4,0),"")</f>
        <v>Reserva de autos</v>
      </c>
      <c r="G9" s="398"/>
      <c r="H9" s="398"/>
      <c r="I9" s="398"/>
      <c r="J9" s="398"/>
      <c r="K9" s="398"/>
      <c r="L9" s="398"/>
      <c r="M9" s="398"/>
      <c r="N9" s="398"/>
      <c r="O9" s="399"/>
      <c r="P9" s="394" t="s">
        <v>152</v>
      </c>
      <c r="Q9" s="395"/>
      <c r="R9" s="395"/>
      <c r="S9" s="395"/>
      <c r="T9" s="395"/>
      <c r="U9" s="395"/>
      <c r="V9" s="395"/>
      <c r="W9" s="395"/>
      <c r="X9" s="395"/>
      <c r="Y9" s="395"/>
      <c r="Z9" s="395"/>
      <c r="AA9" s="395"/>
      <c r="AB9" s="395"/>
      <c r="AC9" s="395"/>
      <c r="AD9" s="396"/>
      <c r="AE9" s="400" t="s">
        <v>380</v>
      </c>
      <c r="AF9" s="401"/>
      <c r="AG9" s="401"/>
      <c r="AH9" s="401"/>
      <c r="AI9" s="401"/>
      <c r="AJ9" s="401"/>
      <c r="AK9" s="401"/>
      <c r="AL9" s="401"/>
      <c r="AM9" s="401"/>
      <c r="AN9" s="401"/>
      <c r="AO9" s="401"/>
      <c r="AP9" s="401"/>
      <c r="AQ9" s="401"/>
      <c r="AR9" s="401"/>
      <c r="AS9" s="402"/>
      <c r="AT9" s="403">
        <v>15</v>
      </c>
      <c r="AU9" s="404"/>
      <c r="AV9" s="405"/>
      <c r="AW9" s="391">
        <v>44322</v>
      </c>
      <c r="AX9" s="392"/>
      <c r="AY9" s="392"/>
      <c r="AZ9" s="392"/>
      <c r="BA9" s="393"/>
    </row>
    <row r="10" spans="1:73" s="4" customFormat="1" ht="72.75" customHeight="1" x14ac:dyDescent="0.25">
      <c r="A10" s="32"/>
      <c r="C10" s="394" t="s">
        <v>302</v>
      </c>
      <c r="D10" s="395"/>
      <c r="E10" s="396"/>
      <c r="F10" s="397" t="str">
        <f>IF(C10&lt;&gt;"",VLOOKUP(C10,'Info General'!$C$24:$F$6999,4,0),"")</f>
        <v>Reserva de hoteles</v>
      </c>
      <c r="G10" s="398"/>
      <c r="H10" s="398"/>
      <c r="I10" s="398"/>
      <c r="J10" s="398"/>
      <c r="K10" s="398"/>
      <c r="L10" s="398"/>
      <c r="M10" s="398"/>
      <c r="N10" s="398"/>
      <c r="O10" s="399"/>
      <c r="P10" s="394" t="s">
        <v>152</v>
      </c>
      <c r="Q10" s="395"/>
      <c r="R10" s="395"/>
      <c r="S10" s="395"/>
      <c r="T10" s="395"/>
      <c r="U10" s="395"/>
      <c r="V10" s="395"/>
      <c r="W10" s="395"/>
      <c r="X10" s="395"/>
      <c r="Y10" s="395"/>
      <c r="Z10" s="395"/>
      <c r="AA10" s="395"/>
      <c r="AB10" s="395"/>
      <c r="AC10" s="395"/>
      <c r="AD10" s="396"/>
      <c r="AE10" s="400" t="s">
        <v>407</v>
      </c>
      <c r="AF10" s="401"/>
      <c r="AG10" s="401"/>
      <c r="AH10" s="401"/>
      <c r="AI10" s="401"/>
      <c r="AJ10" s="401"/>
      <c r="AK10" s="401"/>
      <c r="AL10" s="401"/>
      <c r="AM10" s="401"/>
      <c r="AN10" s="401"/>
      <c r="AO10" s="401"/>
      <c r="AP10" s="401"/>
      <c r="AQ10" s="401"/>
      <c r="AR10" s="401"/>
      <c r="AS10" s="402"/>
      <c r="AT10" s="403">
        <v>14</v>
      </c>
      <c r="AU10" s="404"/>
      <c r="AV10" s="405"/>
      <c r="AW10" s="391">
        <v>44323</v>
      </c>
      <c r="AX10" s="392"/>
      <c r="AY10" s="392"/>
      <c r="AZ10" s="392"/>
      <c r="BA10" s="393"/>
    </row>
    <row r="11" spans="1:73" ht="7.5" customHeight="1" x14ac:dyDescent="0.25">
      <c r="A11" s="7" t="s">
        <v>161</v>
      </c>
      <c r="C11" s="410">
        <v>1</v>
      </c>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A11" s="410"/>
      <c r="BB11" s="4"/>
      <c r="BC11" s="4"/>
      <c r="BD11" s="4"/>
      <c r="BE11" s="4"/>
      <c r="BF11" s="4"/>
      <c r="BG11" s="4"/>
      <c r="BH11" s="4"/>
      <c r="BI11" s="4"/>
      <c r="BJ11" s="4"/>
      <c r="BK11" s="4"/>
      <c r="BL11" s="4"/>
      <c r="BM11" s="4"/>
      <c r="BN11" s="4"/>
      <c r="BO11" s="4"/>
      <c r="BP11" s="4"/>
      <c r="BQ11" s="4"/>
      <c r="BR11" s="4"/>
      <c r="BS11" s="4"/>
      <c r="BT11" s="4"/>
      <c r="BU11" s="4"/>
    </row>
    <row r="12" spans="1:73" ht="15" x14ac:dyDescent="0.2">
      <c r="C12" s="407"/>
      <c r="D12" s="407"/>
      <c r="E12" s="407"/>
      <c r="F12" s="407"/>
      <c r="G12" s="407"/>
      <c r="H12" s="407"/>
      <c r="I12" s="407"/>
      <c r="J12" s="407"/>
      <c r="K12" s="407"/>
      <c r="L12" s="407"/>
      <c r="M12" s="407"/>
      <c r="N12" s="407"/>
      <c r="O12" s="407"/>
      <c r="P12" s="407"/>
      <c r="Q12" s="407"/>
      <c r="R12" s="407"/>
      <c r="S12" s="407"/>
      <c r="T12" s="407"/>
      <c r="U12" s="407"/>
      <c r="V12" s="407"/>
      <c r="W12" s="407"/>
      <c r="X12" s="407"/>
      <c r="Y12" s="407"/>
      <c r="Z12" s="407"/>
      <c r="AA12" s="407"/>
      <c r="AB12" s="407"/>
      <c r="AC12" s="407"/>
      <c r="AD12" s="408"/>
      <c r="AE12" s="406" t="s">
        <v>278</v>
      </c>
      <c r="AF12" s="406"/>
      <c r="AG12" s="406"/>
      <c r="AH12" s="406"/>
      <c r="AI12" s="406"/>
      <c r="AJ12" s="406"/>
      <c r="AK12" s="406"/>
      <c r="AL12" s="406"/>
      <c r="AM12" s="406"/>
      <c r="AN12" s="406"/>
      <c r="AO12" s="406"/>
      <c r="AP12" s="406"/>
      <c r="AQ12" s="406"/>
      <c r="AR12" s="406"/>
      <c r="AS12" s="406"/>
      <c r="AT12" s="323">
        <f>SUM(AT6:AT11)</f>
        <v>57.25</v>
      </c>
      <c r="AU12" s="323"/>
      <c r="AV12" s="323"/>
      <c r="AW12" s="409"/>
      <c r="AX12" s="407"/>
      <c r="AY12" s="407"/>
      <c r="AZ12" s="407"/>
      <c r="BA12" s="407"/>
      <c r="BB12" s="4"/>
      <c r="BC12" s="4"/>
      <c r="BD12" s="4"/>
      <c r="BE12" s="4"/>
      <c r="BF12" s="4"/>
      <c r="BG12" s="4"/>
      <c r="BH12" s="4"/>
      <c r="BI12" s="4"/>
      <c r="BJ12" s="4"/>
      <c r="BK12" s="4"/>
      <c r="BL12" s="4"/>
      <c r="BM12" s="4"/>
      <c r="BN12" s="4"/>
      <c r="BO12" s="4"/>
      <c r="BP12" s="4"/>
      <c r="BQ12" s="4"/>
      <c r="BR12" s="4"/>
      <c r="BS12" s="4"/>
      <c r="BT12" s="4"/>
      <c r="BU12" s="4"/>
    </row>
    <row r="13" spans="1:73" x14ac:dyDescent="0.2">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9"/>
      <c r="AE13" s="9"/>
      <c r="AF13" s="9"/>
      <c r="AH13" s="4"/>
      <c r="AI13" s="4"/>
      <c r="AJ13" s="4"/>
      <c r="AK13" s="4"/>
      <c r="AL13" s="4"/>
      <c r="AM13" s="4"/>
      <c r="AN13" s="4"/>
      <c r="AO13" s="4"/>
      <c r="AP13" s="4"/>
      <c r="AQ13" s="4"/>
      <c r="AR13" s="4"/>
      <c r="AS13" s="4"/>
      <c r="AT13" s="4"/>
      <c r="AU13" s="4"/>
      <c r="AV13" s="4"/>
      <c r="AW13" s="4"/>
      <c r="AX13" s="4"/>
      <c r="AY13" s="4"/>
      <c r="AZ13" s="4"/>
      <c r="BB13" s="4"/>
      <c r="BC13" s="4"/>
      <c r="BD13" s="4"/>
      <c r="BE13" s="4"/>
      <c r="BF13" s="4"/>
      <c r="BG13" s="4"/>
      <c r="BH13" s="4"/>
      <c r="BI13" s="4"/>
      <c r="BJ13" s="4"/>
      <c r="BK13" s="4"/>
      <c r="BL13" s="4"/>
      <c r="BM13" s="4"/>
      <c r="BN13" s="4"/>
      <c r="BO13" s="4"/>
      <c r="BP13" s="4"/>
      <c r="BQ13" s="4"/>
      <c r="BR13" s="4"/>
      <c r="BS13" s="4"/>
      <c r="BT13" s="4"/>
      <c r="BU13" s="4"/>
    </row>
    <row r="14" spans="1:73" x14ac:dyDescent="0.2">
      <c r="C14" s="149"/>
      <c r="D14" s="149"/>
      <c r="E14" s="149"/>
      <c r="F14" s="149"/>
      <c r="G14" s="149"/>
      <c r="H14" s="149"/>
      <c r="I14" s="149"/>
      <c r="J14" s="149"/>
      <c r="K14" s="149"/>
      <c r="L14" s="149"/>
      <c r="M14" s="149"/>
      <c r="N14" s="149"/>
      <c r="O14" s="149"/>
      <c r="P14" s="149"/>
      <c r="Q14" s="149"/>
      <c r="R14" s="149"/>
      <c r="S14" s="149"/>
      <c r="T14" s="149"/>
      <c r="U14" s="149"/>
      <c r="V14" s="149"/>
      <c r="W14" s="149"/>
      <c r="X14" s="149"/>
      <c r="Y14" s="149"/>
      <c r="Z14" s="149"/>
      <c r="AA14" s="149"/>
      <c r="AB14" s="149"/>
      <c r="AC14" s="149"/>
      <c r="AD14" s="149"/>
      <c r="AE14" s="149"/>
      <c r="AF14" s="149"/>
      <c r="AG14" s="149"/>
      <c r="AH14" s="149"/>
      <c r="AI14" s="149"/>
      <c r="AJ14" s="149"/>
      <c r="AK14" s="149"/>
      <c r="AL14" s="149"/>
      <c r="AM14" s="149"/>
      <c r="AN14" s="149"/>
      <c r="AO14" s="149"/>
      <c r="AP14" s="149"/>
      <c r="AQ14" s="149"/>
      <c r="AR14" s="149"/>
      <c r="AS14" s="149"/>
      <c r="AT14" s="149"/>
      <c r="AU14" s="149"/>
      <c r="AV14" s="149"/>
      <c r="AW14" s="149"/>
      <c r="AX14" s="149"/>
      <c r="AY14" s="149"/>
      <c r="AZ14" s="149"/>
      <c r="BA14" s="149"/>
      <c r="BB14" s="4"/>
      <c r="BC14" s="4"/>
      <c r="BD14" s="4"/>
      <c r="BE14" s="4"/>
      <c r="BF14" s="4"/>
      <c r="BG14" s="4"/>
      <c r="BH14" s="4"/>
      <c r="BI14" s="4"/>
      <c r="BJ14" s="4"/>
      <c r="BK14" s="4"/>
      <c r="BL14" s="4"/>
      <c r="BM14" s="4"/>
      <c r="BN14" s="4"/>
      <c r="BO14" s="4"/>
      <c r="BP14" s="4"/>
      <c r="BQ14" s="4"/>
      <c r="BR14" s="4"/>
      <c r="BS14" s="4"/>
      <c r="BT14" s="4"/>
      <c r="BU14" s="4"/>
    </row>
    <row r="15" spans="1:73" x14ac:dyDescent="0.2">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8"/>
      <c r="AE15" s="8"/>
      <c r="AF15" s="8"/>
      <c r="AH15" s="4"/>
      <c r="AI15" s="4"/>
      <c r="AJ15" s="4"/>
      <c r="AK15" s="4"/>
      <c r="AL15" s="4"/>
      <c r="AM15" s="4"/>
      <c r="AN15" s="4"/>
      <c r="AO15" s="4"/>
      <c r="AP15" s="4"/>
      <c r="AQ15" s="4"/>
      <c r="AR15" s="4"/>
      <c r="AS15" s="4"/>
      <c r="AT15" s="4"/>
      <c r="AU15" s="4"/>
      <c r="AV15" s="4"/>
      <c r="AW15" s="4"/>
      <c r="AX15" s="4"/>
      <c r="AY15" s="4"/>
      <c r="AZ15" s="4"/>
      <c r="BB15" s="4"/>
      <c r="BC15" s="4"/>
      <c r="BD15" s="4"/>
      <c r="BE15" s="4"/>
      <c r="BF15" s="4"/>
      <c r="BG15" s="4"/>
      <c r="BH15" s="4"/>
      <c r="BI15" s="4"/>
      <c r="BJ15" s="4"/>
      <c r="BK15" s="4"/>
      <c r="BL15" s="4"/>
      <c r="BM15" s="4"/>
      <c r="BN15" s="4"/>
      <c r="BO15" s="4"/>
      <c r="BP15" s="4"/>
      <c r="BQ15" s="4"/>
      <c r="BR15" s="4"/>
      <c r="BS15" s="4"/>
      <c r="BT15" s="4"/>
      <c r="BU15" s="4"/>
    </row>
    <row r="16" spans="1:73" x14ac:dyDescent="0.2">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8"/>
      <c r="AE16" s="8"/>
      <c r="AF16" s="8"/>
      <c r="AH16" s="4"/>
      <c r="AI16" s="4"/>
      <c r="AJ16" s="4"/>
      <c r="AK16" s="4"/>
      <c r="AL16" s="4"/>
      <c r="AM16" s="4"/>
      <c r="AN16" s="4"/>
      <c r="AO16" s="4"/>
      <c r="AP16" s="4"/>
      <c r="AQ16" s="4"/>
      <c r="AR16" s="4"/>
      <c r="AS16" s="4"/>
      <c r="AT16" s="4"/>
      <c r="AU16" s="4"/>
      <c r="AV16" s="4"/>
      <c r="AW16" s="4"/>
      <c r="AX16" s="4"/>
      <c r="AY16" s="4"/>
      <c r="AZ16" s="4"/>
      <c r="BB16" s="4"/>
      <c r="BC16" s="4"/>
      <c r="BD16" s="4"/>
      <c r="BE16" s="4"/>
      <c r="BF16" s="4"/>
      <c r="BG16" s="4"/>
      <c r="BH16" s="4"/>
      <c r="BI16" s="4"/>
      <c r="BJ16" s="4"/>
      <c r="BK16" s="4"/>
      <c r="BL16" s="4"/>
      <c r="BM16" s="4"/>
      <c r="BN16" s="4"/>
      <c r="BO16" s="4"/>
      <c r="BP16" s="4"/>
      <c r="BQ16" s="4"/>
      <c r="BR16" s="4"/>
      <c r="BS16" s="4"/>
      <c r="BT16" s="4"/>
      <c r="BU16" s="4"/>
    </row>
    <row r="17" spans="3:73" x14ac:dyDescent="0.2">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H17" s="4"/>
      <c r="AI17" s="4"/>
      <c r="AJ17" s="4"/>
      <c r="AK17" s="4"/>
      <c r="AL17" s="4"/>
      <c r="AM17" s="4"/>
      <c r="AN17" s="4"/>
      <c r="AO17" s="4"/>
      <c r="AP17" s="4"/>
      <c r="AQ17" s="4"/>
      <c r="AR17" s="4"/>
      <c r="AS17" s="4"/>
      <c r="AT17" s="4"/>
      <c r="AU17" s="4"/>
      <c r="AV17" s="4"/>
      <c r="AW17" s="4"/>
      <c r="AX17" s="4"/>
      <c r="AY17" s="4"/>
      <c r="AZ17" s="4"/>
      <c r="BB17" s="4"/>
      <c r="BC17" s="4"/>
      <c r="BD17" s="4"/>
      <c r="BE17" s="4"/>
      <c r="BF17" s="4"/>
      <c r="BG17" s="4"/>
      <c r="BH17" s="4"/>
      <c r="BI17" s="4"/>
      <c r="BJ17" s="4"/>
      <c r="BK17" s="4"/>
      <c r="BL17" s="4"/>
      <c r="BM17" s="4"/>
      <c r="BN17" s="4"/>
      <c r="BO17" s="4"/>
      <c r="BP17" s="4"/>
      <c r="BQ17" s="4"/>
      <c r="BR17" s="4"/>
      <c r="BS17" s="4"/>
      <c r="BT17" s="4"/>
      <c r="BU17" s="4"/>
    </row>
    <row r="18" spans="3:73" x14ac:dyDescent="0.2">
      <c r="C18" s="3"/>
    </row>
    <row r="19" spans="3:73" x14ac:dyDescent="0.2">
      <c r="C19" s="20"/>
      <c r="D19" s="20"/>
      <c r="E19" s="20"/>
      <c r="F19" s="20"/>
      <c r="G19" s="20"/>
      <c r="H19" s="20"/>
      <c r="I19" s="20"/>
      <c r="J19" s="20"/>
      <c r="K19" s="20"/>
      <c r="L19" s="20"/>
      <c r="M19" s="20"/>
      <c r="N19" s="20"/>
      <c r="O19" s="20"/>
      <c r="P19" s="20"/>
      <c r="Q19" s="20"/>
      <c r="R19" s="20"/>
      <c r="S19" s="20"/>
      <c r="T19" s="20"/>
      <c r="U19" s="20"/>
      <c r="V19" s="20"/>
      <c r="W19" s="20"/>
      <c r="X19" s="20"/>
      <c r="Y19" s="20"/>
      <c r="Z19" s="20"/>
      <c r="AA19" s="20"/>
    </row>
    <row r="20" spans="3:73" x14ac:dyDescent="0.2">
      <c r="BD20" s="7"/>
      <c r="BE20" s="7"/>
      <c r="BF20" s="7"/>
      <c r="BG20" s="7"/>
      <c r="BH20" s="7"/>
      <c r="BI20" s="7"/>
      <c r="BJ20" s="7"/>
      <c r="BK20" s="7"/>
      <c r="BL20" s="7"/>
      <c r="BM20" s="6"/>
      <c r="BN20" s="6"/>
      <c r="BO20" s="6"/>
      <c r="BP20" s="6"/>
      <c r="BQ20" s="6"/>
      <c r="BR20" s="6"/>
      <c r="BS20" s="6"/>
      <c r="BT20" s="6"/>
      <c r="BU20" s="6"/>
    </row>
    <row r="26" spans="3:73" ht="12.75" hidden="1" customHeight="1" x14ac:dyDescent="0.2"/>
    <row r="27" spans="3:73" ht="12.75" hidden="1" customHeight="1" x14ac:dyDescent="0.2"/>
    <row r="28" spans="3:73" x14ac:dyDescent="0.2">
      <c r="BD28" s="5"/>
      <c r="BE28" s="5"/>
      <c r="BF28" s="5"/>
      <c r="BG28" s="5"/>
      <c r="BH28" s="5"/>
      <c r="BI28" s="5"/>
      <c r="BJ28" s="5"/>
      <c r="BK28" s="5"/>
      <c r="BL28" s="5"/>
      <c r="BM28" s="5"/>
      <c r="BN28" s="5"/>
      <c r="BO28" s="5"/>
      <c r="BP28" s="5"/>
      <c r="BQ28" s="5"/>
      <c r="BR28" s="5"/>
    </row>
    <row r="29" spans="3:73" x14ac:dyDescent="0.2">
      <c r="BD29" s="5"/>
      <c r="BE29" s="5"/>
      <c r="BF29" s="5"/>
      <c r="BG29" s="5"/>
      <c r="BH29" s="5"/>
      <c r="BI29" s="5"/>
      <c r="BJ29" s="5"/>
      <c r="BK29" s="5"/>
      <c r="BL29" s="5"/>
      <c r="BM29" s="5"/>
      <c r="BN29" s="5"/>
      <c r="BO29" s="5"/>
      <c r="BP29" s="5"/>
      <c r="BQ29" s="5"/>
      <c r="BR29" s="5"/>
    </row>
    <row r="30" spans="3:73" x14ac:dyDescent="0.2">
      <c r="BD30" s="5"/>
      <c r="BE30" s="5"/>
      <c r="BF30" s="5"/>
      <c r="BG30" s="5"/>
      <c r="BH30" s="5"/>
      <c r="BI30" s="5"/>
      <c r="BJ30" s="5"/>
      <c r="BK30" s="5"/>
      <c r="BL30" s="5"/>
      <c r="BM30" s="5"/>
      <c r="BN30" s="5"/>
      <c r="BO30" s="5"/>
      <c r="BP30" s="5"/>
      <c r="BQ30" s="5"/>
      <c r="BR30" s="5"/>
    </row>
    <row r="31" spans="3:73" x14ac:dyDescent="0.2">
      <c r="BD31" s="5"/>
      <c r="BE31" s="5"/>
      <c r="BF31" s="5"/>
      <c r="BG31" s="5"/>
      <c r="BH31" s="5"/>
      <c r="BI31" s="5"/>
      <c r="BJ31" s="5"/>
      <c r="BK31" s="5"/>
      <c r="BL31" s="5"/>
      <c r="BM31" s="5"/>
      <c r="BN31" s="5"/>
      <c r="BO31" s="5"/>
      <c r="BP31" s="5"/>
      <c r="BQ31" s="5"/>
      <c r="BR31" s="5"/>
    </row>
    <row r="32" spans="3:73" x14ac:dyDescent="0.2">
      <c r="BD32" s="5"/>
      <c r="BE32" s="5"/>
      <c r="BF32" s="5"/>
      <c r="BG32" s="5"/>
      <c r="BH32" s="5"/>
      <c r="BI32" s="5"/>
      <c r="BJ32" s="5"/>
      <c r="BK32" s="5"/>
      <c r="BL32" s="5"/>
    </row>
    <row r="33" ht="12.75" hidden="1" customHeight="1" x14ac:dyDescent="0.2"/>
  </sheetData>
  <sheetProtection algorithmName="SHA-512" hashValue="bf0sYEaLjxwwzIYYqwPivITucNDgrK7SqwVH8nJWULXmrNgQ8VN7PdfRyTko4eWsS5Vgx2V+CIWSq1tqT6csDg==" saltValue="FxGQ690g4DW12Rlcglo51Q==" spinCount="100000" sheet="1" objects="1" scenarios="1" formatCells="0" formatRows="0" selectLockedCells="1" autoFilter="0"/>
  <mergeCells count="36">
    <mergeCell ref="C11:BA11"/>
    <mergeCell ref="C6:E6"/>
    <mergeCell ref="P6:AD6"/>
    <mergeCell ref="AE6:AS6"/>
    <mergeCell ref="AT6:AV6"/>
    <mergeCell ref="AW7:BA7"/>
    <mergeCell ref="C7:E7"/>
    <mergeCell ref="F7:O7"/>
    <mergeCell ref="P7:AD7"/>
    <mergeCell ref="AE7:AS7"/>
    <mergeCell ref="AT7:AV7"/>
    <mergeCell ref="F6:O6"/>
    <mergeCell ref="AW6:BA6"/>
    <mergeCell ref="C8:E8"/>
    <mergeCell ref="F8:O8"/>
    <mergeCell ref="P8:AD8"/>
    <mergeCell ref="AT12:AV12"/>
    <mergeCell ref="AE12:AS12"/>
    <mergeCell ref="C12:AD12"/>
    <mergeCell ref="AW12:BA12"/>
    <mergeCell ref="C14:BA14"/>
    <mergeCell ref="AE8:AS8"/>
    <mergeCell ref="AT8:AV8"/>
    <mergeCell ref="AW8:BA8"/>
    <mergeCell ref="C9:E9"/>
    <mergeCell ref="F9:O9"/>
    <mergeCell ref="P9:AD9"/>
    <mergeCell ref="AE9:AS9"/>
    <mergeCell ref="AT9:AV9"/>
    <mergeCell ref="AW9:BA9"/>
    <mergeCell ref="AW10:BA10"/>
    <mergeCell ref="C10:E10"/>
    <mergeCell ref="F10:O10"/>
    <mergeCell ref="P10:AD10"/>
    <mergeCell ref="AE10:AS10"/>
    <mergeCell ref="AT10:AV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sertarDesface">
                <anchor>
                  <from>
                    <xdr:col>2</xdr:col>
                    <xdr:colOff>171450</xdr:colOff>
                    <xdr:row>1</xdr:row>
                    <xdr:rowOff>0</xdr:rowOff>
                  </from>
                  <to>
                    <xdr:col>8</xdr:col>
                    <xdr:colOff>171450</xdr:colOff>
                    <xdr:row>3</xdr:row>
                    <xdr:rowOff>76200</xdr:rowOff>
                  </to>
                </anchor>
              </controlPr>
            </control>
          </mc:Choice>
        </mc:AlternateContent>
        <mc:AlternateContent xmlns:mc="http://schemas.openxmlformats.org/markup-compatibility/2006">
          <mc:Choice Requires="x14">
            <control shapeId="19458" r:id="rId5" name="Button 2">
              <controlPr defaultSize="0" print="0" autoFill="0" autoPict="0" macro="[0]!eliminarResgistro">
                <anchor>
                  <from>
                    <xdr:col>9</xdr:col>
                    <xdr:colOff>161925</xdr:colOff>
                    <xdr:row>0</xdr:row>
                    <xdr:rowOff>142875</xdr:rowOff>
                  </from>
                  <to>
                    <xdr:col>15</xdr:col>
                    <xdr:colOff>161925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Listas!$B$14:$B$27</xm:f>
          </x14:formula1>
          <xm:sqref>P7:AD10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9" tint="0.39997558519241921"/>
    <pageSetUpPr fitToPage="1"/>
  </sheetPr>
  <dimension ref="A1:BL111"/>
  <sheetViews>
    <sheetView showGridLines="0" topLeftCell="A21" zoomScaleNormal="100" workbookViewId="0">
      <selection activeCell="C18" sqref="C18:BA21"/>
    </sheetView>
  </sheetViews>
  <sheetFormatPr baseColWidth="10" defaultColWidth="2.7109375" defaultRowHeight="12.75" x14ac:dyDescent="0.2"/>
  <cols>
    <col min="1" max="1" width="0.85546875" style="11" customWidth="1"/>
    <col min="2" max="2" width="1.7109375" style="11" customWidth="1"/>
    <col min="3" max="7" width="2.7109375" style="11"/>
    <col min="8" max="8" width="2.85546875" style="11" customWidth="1"/>
    <col min="9" max="23" width="2.7109375" style="11"/>
    <col min="24" max="24" width="2.85546875" style="11" customWidth="1"/>
    <col min="25" max="33" width="2.7109375" style="11"/>
    <col min="34" max="34" width="3.140625" style="11" customWidth="1"/>
    <col min="35" max="49" width="2.7109375" style="11"/>
    <col min="50" max="53" width="1.7109375" style="11" customWidth="1"/>
    <col min="54" max="54" width="2.7109375" style="11"/>
    <col min="55" max="55" width="3" style="11" bestFit="1" customWidth="1"/>
    <col min="56" max="63" width="2.7109375" style="11"/>
    <col min="64" max="64" width="3.42578125" style="11" bestFit="1" customWidth="1"/>
    <col min="65" max="16384" width="2.7109375" style="11"/>
  </cols>
  <sheetData>
    <row r="1" spans="3:53" ht="15.75" customHeight="1" x14ac:dyDescent="0.2">
      <c r="C1" s="437"/>
      <c r="D1" s="437"/>
      <c r="E1" s="437"/>
      <c r="F1" s="437"/>
      <c r="G1" s="437"/>
      <c r="H1" s="437"/>
      <c r="I1" s="437"/>
      <c r="J1" s="437"/>
      <c r="K1" s="437"/>
      <c r="L1" s="437"/>
      <c r="M1" s="437"/>
      <c r="N1" s="437"/>
      <c r="O1" s="437"/>
      <c r="P1" s="437"/>
      <c r="Q1" s="437"/>
      <c r="R1" s="437"/>
      <c r="S1" s="437"/>
      <c r="T1" s="437"/>
      <c r="U1" s="437"/>
      <c r="V1" s="437"/>
      <c r="W1" s="437"/>
      <c r="X1" s="437"/>
      <c r="Y1" s="437"/>
      <c r="Z1" s="437"/>
      <c r="AA1" s="437"/>
      <c r="AB1" s="437"/>
      <c r="AC1" s="437"/>
      <c r="AD1" s="437"/>
      <c r="AE1" s="437"/>
      <c r="AF1" s="437"/>
      <c r="AG1" s="437"/>
      <c r="AH1" s="437"/>
      <c r="AI1" s="437"/>
      <c r="AJ1" s="437"/>
      <c r="AK1" s="437"/>
      <c r="AL1" s="437"/>
      <c r="AM1" s="437"/>
      <c r="AN1" s="437"/>
      <c r="AO1" s="437"/>
      <c r="AP1" s="437"/>
      <c r="AQ1" s="437"/>
      <c r="AR1" s="437"/>
      <c r="AS1" s="437"/>
      <c r="AT1" s="437"/>
      <c r="AU1" s="437"/>
      <c r="AV1" s="437"/>
      <c r="AW1" s="437"/>
      <c r="AX1" s="437"/>
      <c r="AY1" s="437"/>
      <c r="AZ1" s="437"/>
      <c r="BA1" s="437"/>
    </row>
    <row r="2" spans="3:53" x14ac:dyDescent="0.2">
      <c r="C2" s="230" t="s">
        <v>228</v>
      </c>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K2" s="231"/>
      <c r="AL2" s="231"/>
      <c r="AM2" s="231"/>
      <c r="AN2" s="231"/>
      <c r="AO2" s="231"/>
      <c r="AP2" s="231"/>
      <c r="AQ2" s="231"/>
      <c r="AR2" s="231"/>
      <c r="AS2" s="231"/>
      <c r="AT2" s="231"/>
      <c r="AU2" s="231"/>
      <c r="AV2" s="231"/>
      <c r="AW2" s="231"/>
      <c r="AX2" s="231"/>
      <c r="AY2" s="231"/>
      <c r="AZ2" s="231"/>
      <c r="BA2" s="231"/>
    </row>
    <row r="3" spans="3:53" x14ac:dyDescent="0.2">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row>
    <row r="4" spans="3:53" x14ac:dyDescent="0.2">
      <c r="C4" s="231"/>
      <c r="D4" s="231"/>
      <c r="E4" s="231"/>
      <c r="F4" s="231"/>
      <c r="G4" s="231"/>
      <c r="H4" s="231"/>
      <c r="I4" s="231"/>
      <c r="J4" s="231"/>
      <c r="K4" s="231"/>
      <c r="L4" s="231"/>
      <c r="M4" s="231"/>
      <c r="N4" s="231"/>
      <c r="O4" s="231"/>
      <c r="P4" s="231"/>
      <c r="Q4" s="231"/>
      <c r="R4" s="231"/>
      <c r="S4" s="231"/>
      <c r="T4" s="231"/>
      <c r="U4" s="231"/>
      <c r="V4" s="231"/>
      <c r="W4" s="231"/>
      <c r="X4" s="231"/>
      <c r="Y4" s="231"/>
      <c r="Z4" s="231"/>
      <c r="AA4" s="231"/>
      <c r="AB4" s="231"/>
      <c r="AC4" s="231"/>
      <c r="AD4" s="231"/>
      <c r="AE4" s="231"/>
      <c r="AF4" s="231"/>
      <c r="AG4" s="231"/>
      <c r="AH4" s="231"/>
      <c r="AI4" s="231"/>
      <c r="AJ4" s="231"/>
      <c r="AK4" s="231"/>
      <c r="AL4" s="231"/>
      <c r="AM4" s="231"/>
      <c r="AN4" s="231"/>
      <c r="AO4" s="231"/>
      <c r="AP4" s="231"/>
      <c r="AQ4" s="231"/>
      <c r="AR4" s="231"/>
      <c r="AS4" s="231"/>
      <c r="AT4" s="231"/>
      <c r="AU4" s="231"/>
      <c r="AV4" s="231"/>
      <c r="AW4" s="231"/>
      <c r="AX4" s="231"/>
      <c r="AY4" s="231"/>
      <c r="AZ4" s="231"/>
      <c r="BA4" s="231"/>
    </row>
    <row r="5" spans="3:53" x14ac:dyDescent="0.2">
      <c r="C5" s="231"/>
      <c r="D5" s="231"/>
      <c r="E5" s="231"/>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1"/>
      <c r="AI5" s="231"/>
      <c r="AJ5" s="231"/>
      <c r="AK5" s="231"/>
      <c r="AL5" s="231"/>
      <c r="AM5" s="231"/>
      <c r="AN5" s="231"/>
      <c r="AO5" s="231"/>
      <c r="AP5" s="231"/>
      <c r="AQ5" s="231"/>
      <c r="AR5" s="231"/>
      <c r="AS5" s="231"/>
      <c r="AT5" s="231"/>
      <c r="AU5" s="231"/>
      <c r="AV5" s="231"/>
      <c r="AW5" s="231"/>
      <c r="AX5" s="231"/>
      <c r="AY5" s="231"/>
      <c r="AZ5" s="231"/>
      <c r="BA5" s="231"/>
    </row>
    <row r="6" spans="3:53" ht="14.25" x14ac:dyDescent="0.25">
      <c r="C6" s="237" t="s">
        <v>28</v>
      </c>
      <c r="D6" s="237"/>
      <c r="E6" s="237"/>
      <c r="F6" s="237"/>
      <c r="G6" s="237"/>
      <c r="H6" s="237"/>
      <c r="I6" s="237"/>
      <c r="J6" s="237"/>
      <c r="K6" s="237"/>
      <c r="L6" s="237"/>
      <c r="M6" s="237"/>
      <c r="N6" s="237"/>
      <c r="O6" s="237"/>
      <c r="P6" s="232"/>
      <c r="Q6" s="232"/>
      <c r="R6" s="232"/>
      <c r="S6" s="232"/>
      <c r="T6" s="232"/>
      <c r="U6" s="232"/>
      <c r="V6" s="232"/>
      <c r="W6" s="232"/>
      <c r="X6" s="232"/>
      <c r="Y6" s="232"/>
      <c r="Z6" s="232"/>
      <c r="AA6" s="232"/>
      <c r="AB6" s="232"/>
      <c r="AC6" s="232"/>
      <c r="AD6" s="232"/>
      <c r="AE6" s="232"/>
      <c r="AF6" s="232"/>
      <c r="AG6" s="232"/>
      <c r="AH6" s="232"/>
      <c r="AI6" s="232"/>
      <c r="AJ6" s="232"/>
      <c r="AK6" s="232"/>
      <c r="AL6" s="232"/>
      <c r="AM6" s="232"/>
      <c r="AN6" s="232"/>
      <c r="AO6" s="232"/>
      <c r="AP6" s="232"/>
      <c r="AQ6" s="232"/>
      <c r="AR6" s="232"/>
      <c r="AS6" s="232"/>
      <c r="AT6" s="232"/>
      <c r="AU6" s="232"/>
      <c r="AV6" s="232"/>
      <c r="AW6" s="232"/>
      <c r="AX6" s="232"/>
      <c r="AY6" s="232"/>
      <c r="AZ6" s="232"/>
      <c r="BA6" s="232"/>
    </row>
    <row r="7" spans="3:53" ht="14.25" x14ac:dyDescent="0.2">
      <c r="C7" s="238"/>
      <c r="D7" s="238"/>
      <c r="E7" s="238"/>
      <c r="F7" s="238"/>
      <c r="G7" s="238"/>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238"/>
    </row>
    <row r="8" spans="3:53" ht="14.25" x14ac:dyDescent="0.25">
      <c r="C8" s="240" t="s">
        <v>29</v>
      </c>
      <c r="D8" s="240"/>
      <c r="E8" s="240"/>
      <c r="F8" s="240"/>
      <c r="G8" s="240"/>
      <c r="H8" s="240"/>
      <c r="I8" s="240"/>
      <c r="J8" s="240"/>
      <c r="K8" s="240"/>
      <c r="L8" s="240"/>
      <c r="M8" s="240"/>
      <c r="N8" s="240"/>
      <c r="O8" s="240"/>
      <c r="P8" s="240"/>
      <c r="Q8" s="240"/>
      <c r="R8" s="241" t="str">
        <f>'Info General'!$R$4:$BA$4</f>
        <v>Prueba Técnica DevCo Ingeniero de pruebas</v>
      </c>
      <c r="S8" s="241"/>
      <c r="T8" s="241"/>
      <c r="U8" s="241"/>
      <c r="V8" s="241"/>
      <c r="W8" s="241"/>
      <c r="X8" s="241"/>
      <c r="Y8" s="241"/>
      <c r="Z8" s="241"/>
      <c r="AA8" s="241"/>
      <c r="AB8" s="241"/>
      <c r="AC8" s="241"/>
      <c r="AD8" s="241"/>
      <c r="AE8" s="241"/>
      <c r="AF8" s="241"/>
      <c r="AG8" s="241"/>
      <c r="AH8" s="241"/>
      <c r="AI8" s="241"/>
      <c r="AJ8" s="241"/>
      <c r="AK8" s="241"/>
      <c r="AL8" s="241"/>
      <c r="AM8" s="241"/>
      <c r="AN8" s="241"/>
      <c r="AO8" s="241"/>
      <c r="AP8" s="241"/>
      <c r="AQ8" s="241"/>
      <c r="AR8" s="241"/>
      <c r="AS8" s="241"/>
      <c r="AT8" s="241"/>
      <c r="AU8" s="241"/>
      <c r="AV8" s="241"/>
      <c r="AW8" s="241"/>
      <c r="AX8" s="241"/>
      <c r="AY8" s="241"/>
      <c r="AZ8" s="241"/>
      <c r="BA8" s="241"/>
    </row>
    <row r="9" spans="3:53" ht="14.25" x14ac:dyDescent="0.25">
      <c r="C9" s="240" t="s">
        <v>9</v>
      </c>
      <c r="D9" s="240"/>
      <c r="E9" s="240"/>
      <c r="F9" s="240"/>
      <c r="G9" s="240"/>
      <c r="H9" s="240"/>
      <c r="I9" s="240"/>
      <c r="J9" s="240"/>
      <c r="K9" s="240"/>
      <c r="L9" s="240"/>
      <c r="M9" s="240"/>
      <c r="N9" s="240"/>
      <c r="O9" s="240"/>
      <c r="P9" s="240"/>
      <c r="Q9" s="240"/>
      <c r="R9" s="241" t="str">
        <f>'Info General'!$R$5:$BA$5</f>
        <v>Travelocity</v>
      </c>
      <c r="S9" s="241"/>
      <c r="T9" s="241"/>
      <c r="U9" s="241"/>
      <c r="V9" s="241"/>
      <c r="W9" s="241"/>
      <c r="X9" s="241"/>
      <c r="Y9" s="241"/>
      <c r="Z9" s="241"/>
      <c r="AA9" s="241"/>
      <c r="AB9" s="241"/>
      <c r="AC9" s="241"/>
      <c r="AD9" s="241"/>
      <c r="AE9" s="241"/>
      <c r="AF9" s="241"/>
      <c r="AG9" s="241"/>
      <c r="AH9" s="241"/>
      <c r="AI9" s="241"/>
      <c r="AJ9" s="241"/>
      <c r="AK9" s="241"/>
      <c r="AL9" s="241"/>
      <c r="AM9" s="241"/>
      <c r="AN9" s="241"/>
      <c r="AO9" s="241"/>
      <c r="AP9" s="241"/>
      <c r="AQ9" s="241"/>
      <c r="AR9" s="241"/>
      <c r="AS9" s="241"/>
      <c r="AT9" s="241"/>
      <c r="AU9" s="241"/>
      <c r="AV9" s="241"/>
      <c r="AW9" s="241"/>
      <c r="AX9" s="241"/>
      <c r="AY9" s="241"/>
      <c r="AZ9" s="241"/>
      <c r="BA9" s="241"/>
    </row>
    <row r="10" spans="3:53" ht="14.25" x14ac:dyDescent="0.25">
      <c r="C10" s="240" t="s">
        <v>193</v>
      </c>
      <c r="D10" s="240"/>
      <c r="E10" s="240"/>
      <c r="F10" s="240"/>
      <c r="G10" s="240"/>
      <c r="H10" s="240"/>
      <c r="I10" s="240"/>
      <c r="J10" s="240"/>
      <c r="K10" s="240"/>
      <c r="L10" s="240"/>
      <c r="M10" s="240"/>
      <c r="N10" s="240"/>
      <c r="O10" s="240"/>
      <c r="P10" s="240"/>
      <c r="Q10" s="240"/>
      <c r="R10" s="241" t="str">
        <f>'Info General'!$R$6:$BA$6</f>
        <v>Generar diferentes tipos de reservas como hoteles, vuelos, alquiler de vehículos, paquetes y actividades turisticas, de acuerdo a la necesidad de cada cliente</v>
      </c>
      <c r="S10" s="241"/>
      <c r="T10" s="241"/>
      <c r="U10" s="241"/>
      <c r="V10" s="241"/>
      <c r="W10" s="241"/>
      <c r="X10" s="241"/>
      <c r="Y10" s="241"/>
      <c r="Z10" s="241"/>
      <c r="AA10" s="241"/>
      <c r="AB10" s="241"/>
      <c r="AC10" s="241"/>
      <c r="AD10" s="241"/>
      <c r="AE10" s="241"/>
      <c r="AF10" s="241"/>
      <c r="AG10" s="241"/>
      <c r="AH10" s="241"/>
      <c r="AI10" s="241"/>
      <c r="AJ10" s="241"/>
      <c r="AK10" s="241"/>
      <c r="AL10" s="241"/>
      <c r="AM10" s="241"/>
      <c r="AN10" s="241"/>
      <c r="AO10" s="241"/>
      <c r="AP10" s="241"/>
      <c r="AQ10" s="241"/>
      <c r="AR10" s="241"/>
      <c r="AS10" s="241"/>
      <c r="AT10" s="241"/>
      <c r="AU10" s="241"/>
      <c r="AV10" s="241"/>
      <c r="AW10" s="241"/>
      <c r="AX10" s="241"/>
      <c r="AY10" s="241"/>
      <c r="AZ10" s="241"/>
      <c r="BA10" s="241"/>
    </row>
    <row r="11" spans="3:53" ht="14.25" x14ac:dyDescent="0.25">
      <c r="C11" s="240" t="s">
        <v>123</v>
      </c>
      <c r="D11" s="240"/>
      <c r="E11" s="240"/>
      <c r="F11" s="240"/>
      <c r="G11" s="240"/>
      <c r="H11" s="240"/>
      <c r="I11" s="240"/>
      <c r="J11" s="240"/>
      <c r="K11" s="240"/>
      <c r="L11" s="240"/>
      <c r="M11" s="240"/>
      <c r="N11" s="240"/>
      <c r="O11" s="240"/>
      <c r="P11" s="240"/>
      <c r="Q11" s="240"/>
      <c r="R11" s="241" t="str">
        <f>'Info General'!$R$7:$BA$7</f>
        <v>Desconocida</v>
      </c>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row>
    <row r="12" spans="3:53" ht="14.25" x14ac:dyDescent="0.25">
      <c r="C12" s="240" t="s">
        <v>34</v>
      </c>
      <c r="D12" s="240"/>
      <c r="E12" s="240"/>
      <c r="F12" s="240"/>
      <c r="G12" s="240"/>
      <c r="H12" s="240"/>
      <c r="I12" s="240"/>
      <c r="J12" s="240"/>
      <c r="K12" s="240"/>
      <c r="L12" s="240"/>
      <c r="M12" s="240"/>
      <c r="N12" s="240"/>
      <c r="O12" s="240"/>
      <c r="P12" s="240"/>
      <c r="Q12" s="240"/>
      <c r="R12" s="241" t="str">
        <f>'Info General'!$R$9:$BA$9</f>
        <v>Devco</v>
      </c>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row>
    <row r="13" spans="3:53" ht="12.75" customHeight="1" x14ac:dyDescent="0.25">
      <c r="C13" s="240" t="s">
        <v>35</v>
      </c>
      <c r="D13" s="240"/>
      <c r="E13" s="240"/>
      <c r="F13" s="240"/>
      <c r="G13" s="240"/>
      <c r="H13" s="240"/>
      <c r="I13" s="240"/>
      <c r="J13" s="240"/>
      <c r="K13" s="240"/>
      <c r="L13" s="240"/>
      <c r="M13" s="240"/>
      <c r="N13" s="240"/>
      <c r="O13" s="240"/>
      <c r="P13" s="240"/>
      <c r="Q13" s="240"/>
      <c r="R13" s="241" t="str">
        <f>'Info General'!$R$10</f>
        <v>Vanessa Agudelo Marín</v>
      </c>
      <c r="S13" s="241"/>
      <c r="T13" s="241"/>
      <c r="U13" s="241"/>
      <c r="V13" s="241"/>
      <c r="W13" s="241"/>
      <c r="X13" s="241"/>
      <c r="Y13" s="241"/>
      <c r="Z13" s="241"/>
      <c r="AA13" s="241"/>
      <c r="AB13" s="241"/>
      <c r="AC13" s="241"/>
      <c r="AD13" s="241"/>
      <c r="AE13" s="241"/>
      <c r="AF13" s="241"/>
      <c r="AG13" s="241"/>
      <c r="AH13" s="241"/>
      <c r="AI13" s="241"/>
      <c r="AJ13" s="241"/>
      <c r="AK13" s="241"/>
      <c r="AL13" s="241"/>
      <c r="AM13" s="241"/>
      <c r="AN13" s="241"/>
      <c r="AO13" s="241"/>
      <c r="AP13" s="241"/>
      <c r="AQ13" s="241"/>
      <c r="AR13" s="241"/>
      <c r="AS13" s="241"/>
      <c r="AT13" s="241"/>
      <c r="AU13" s="241"/>
      <c r="AV13" s="241"/>
      <c r="AW13" s="241"/>
      <c r="AX13" s="241"/>
      <c r="AY13" s="241"/>
      <c r="AZ13" s="241"/>
      <c r="BA13" s="241"/>
    </row>
    <row r="14" spans="3:53" ht="14.25" x14ac:dyDescent="0.25">
      <c r="C14" s="240" t="s">
        <v>72</v>
      </c>
      <c r="D14" s="240"/>
      <c r="E14" s="240"/>
      <c r="F14" s="240"/>
      <c r="G14" s="240"/>
      <c r="H14" s="240"/>
      <c r="I14" s="240"/>
      <c r="J14" s="240"/>
      <c r="K14" s="240"/>
      <c r="L14" s="240"/>
      <c r="M14" s="240"/>
      <c r="N14" s="240"/>
      <c r="O14" s="240"/>
      <c r="P14" s="240"/>
      <c r="Q14" s="240"/>
      <c r="R14" s="420">
        <f ca="1">TODAY()</f>
        <v>44324</v>
      </c>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0"/>
      <c r="AT14" s="420"/>
      <c r="AU14" s="420"/>
      <c r="AV14" s="420"/>
      <c r="AW14" s="420"/>
      <c r="AX14" s="420"/>
      <c r="AY14" s="420"/>
      <c r="AZ14" s="420"/>
      <c r="BA14" s="420"/>
    </row>
    <row r="15" spans="3:53" ht="14.25" x14ac:dyDescent="0.25">
      <c r="C15" s="92"/>
      <c r="D15" s="92"/>
      <c r="E15" s="92"/>
      <c r="F15" s="92"/>
      <c r="G15" s="92"/>
      <c r="H15" s="92"/>
      <c r="I15" s="92"/>
      <c r="J15" s="92"/>
      <c r="K15" s="92"/>
      <c r="L15" s="92"/>
      <c r="M15" s="92"/>
      <c r="N15" s="92"/>
      <c r="O15" s="92"/>
      <c r="P15" s="92"/>
      <c r="Q15" s="92"/>
      <c r="R15" s="93"/>
      <c r="S15" s="93"/>
      <c r="T15" s="93"/>
      <c r="U15" s="93"/>
      <c r="V15" s="93"/>
      <c r="W15" s="93"/>
      <c r="X15" s="93"/>
      <c r="Y15" s="93"/>
      <c r="Z15" s="93"/>
      <c r="AA15" s="93"/>
      <c r="AB15" s="93"/>
      <c r="AC15" s="93"/>
      <c r="AD15" s="93"/>
      <c r="AE15" s="93"/>
      <c r="AF15" s="93"/>
      <c r="AG15" s="93"/>
      <c r="AH15" s="93"/>
      <c r="AI15" s="93"/>
      <c r="AJ15" s="93"/>
      <c r="AK15" s="93"/>
      <c r="AL15" s="93"/>
      <c r="AM15" s="93"/>
      <c r="AN15" s="93"/>
      <c r="AO15" s="93"/>
      <c r="AP15" s="93"/>
      <c r="AQ15" s="93"/>
      <c r="AR15" s="93"/>
      <c r="AS15" s="93"/>
      <c r="AT15" s="93"/>
      <c r="AU15" s="93"/>
      <c r="AV15" s="93"/>
      <c r="AW15" s="93"/>
      <c r="AX15" s="93"/>
      <c r="AY15" s="93"/>
      <c r="AZ15" s="93"/>
      <c r="BA15" s="93"/>
    </row>
    <row r="16" spans="3:53" ht="15.75" customHeight="1" x14ac:dyDescent="0.25">
      <c r="C16" s="242" t="s">
        <v>73</v>
      </c>
      <c r="D16" s="242"/>
      <c r="E16" s="242"/>
      <c r="F16" s="242"/>
      <c r="G16" s="242"/>
      <c r="H16" s="242"/>
      <c r="I16" s="242"/>
      <c r="J16" s="242"/>
      <c r="K16" s="242"/>
      <c r="L16" s="242"/>
      <c r="M16" s="242"/>
      <c r="N16" s="242"/>
      <c r="O16" s="242"/>
      <c r="P16" s="242"/>
      <c r="Q16" s="232"/>
      <c r="R16" s="232"/>
      <c r="S16" s="232"/>
      <c r="T16" s="232"/>
      <c r="U16" s="232"/>
      <c r="V16" s="232"/>
      <c r="W16" s="232"/>
      <c r="X16" s="232"/>
      <c r="Y16" s="232"/>
      <c r="Z16" s="232"/>
      <c r="AA16" s="232"/>
      <c r="AB16" s="232"/>
      <c r="AC16" s="232"/>
      <c r="AD16" s="232"/>
      <c r="AE16" s="232"/>
      <c r="AF16" s="232"/>
      <c r="AG16" s="232"/>
      <c r="AH16" s="232"/>
      <c r="AI16" s="232"/>
      <c r="AJ16" s="232"/>
      <c r="AK16" s="232"/>
      <c r="AL16" s="232"/>
      <c r="AM16" s="232"/>
      <c r="AN16" s="232"/>
      <c r="AO16" s="232"/>
      <c r="AP16" s="232"/>
      <c r="AQ16" s="232"/>
      <c r="AR16" s="232"/>
      <c r="AS16" s="232"/>
      <c r="AT16" s="232"/>
      <c r="AU16" s="232"/>
      <c r="AV16" s="232"/>
      <c r="AW16" s="232"/>
      <c r="AX16" s="232"/>
      <c r="AY16" s="232"/>
      <c r="AZ16" s="232"/>
      <c r="BA16" s="232"/>
    </row>
    <row r="17" spans="1:62" ht="14.25" x14ac:dyDescent="0.2">
      <c r="C17" s="238"/>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238"/>
    </row>
    <row r="18" spans="1:62" x14ac:dyDescent="0.2">
      <c r="C18" s="421"/>
      <c r="D18" s="421"/>
      <c r="E18" s="421"/>
      <c r="F18" s="421"/>
      <c r="G18" s="421"/>
      <c r="H18" s="421"/>
      <c r="I18" s="421"/>
      <c r="J18" s="421"/>
      <c r="K18" s="421"/>
      <c r="L18" s="421"/>
      <c r="M18" s="421"/>
      <c r="N18" s="421"/>
      <c r="O18" s="421"/>
      <c r="P18" s="421"/>
      <c r="Q18" s="421"/>
      <c r="R18" s="421"/>
      <c r="S18" s="421"/>
      <c r="T18" s="421"/>
      <c r="U18" s="421"/>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row>
    <row r="19" spans="1:62" x14ac:dyDescent="0.2">
      <c r="C19" s="421"/>
      <c r="D19" s="421"/>
      <c r="E19" s="421"/>
      <c r="F19" s="421"/>
      <c r="G19" s="421"/>
      <c r="H19" s="421"/>
      <c r="I19" s="421"/>
      <c r="J19" s="421"/>
      <c r="K19" s="421"/>
      <c r="L19" s="421"/>
      <c r="M19" s="421"/>
      <c r="N19" s="421"/>
      <c r="O19" s="421"/>
      <c r="P19" s="421"/>
      <c r="Q19" s="421"/>
      <c r="R19" s="421"/>
      <c r="S19" s="421"/>
      <c r="T19" s="421"/>
      <c r="U19" s="421"/>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1"/>
      <c r="AU19" s="421"/>
      <c r="AV19" s="421"/>
      <c r="AW19" s="421"/>
      <c r="AX19" s="421"/>
      <c r="AY19" s="421"/>
      <c r="AZ19" s="421"/>
      <c r="BA19" s="421"/>
    </row>
    <row r="20" spans="1:62" x14ac:dyDescent="0.2">
      <c r="C20" s="421"/>
      <c r="D20" s="421"/>
      <c r="E20" s="421"/>
      <c r="F20" s="421"/>
      <c r="G20" s="421"/>
      <c r="H20" s="421"/>
      <c r="I20" s="421"/>
      <c r="J20" s="421"/>
      <c r="K20" s="421"/>
      <c r="L20" s="421"/>
      <c r="M20" s="421"/>
      <c r="N20" s="421"/>
      <c r="O20" s="421"/>
      <c r="P20" s="421"/>
      <c r="Q20" s="421"/>
      <c r="R20" s="421"/>
      <c r="S20" s="421"/>
      <c r="T20" s="421"/>
      <c r="U20" s="421"/>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row>
    <row r="21" spans="1:62" ht="14.25" customHeight="1" x14ac:dyDescent="0.2">
      <c r="C21" s="421"/>
      <c r="D21" s="421"/>
      <c r="E21" s="421"/>
      <c r="F21" s="421"/>
      <c r="G21" s="421"/>
      <c r="H21" s="421"/>
      <c r="I21" s="421"/>
      <c r="J21" s="421"/>
      <c r="K21" s="421"/>
      <c r="L21" s="421"/>
      <c r="M21" s="421"/>
      <c r="N21" s="421"/>
      <c r="O21" s="421"/>
      <c r="P21" s="421"/>
      <c r="Q21" s="421"/>
      <c r="R21" s="421"/>
      <c r="S21" s="421"/>
      <c r="T21" s="421"/>
      <c r="U21" s="421"/>
      <c r="V21" s="421"/>
      <c r="W21" s="421"/>
      <c r="X21" s="421"/>
      <c r="Y21" s="421"/>
      <c r="Z21" s="421"/>
      <c r="AA21" s="421"/>
      <c r="AB21" s="421"/>
      <c r="AC21" s="421"/>
      <c r="AD21" s="421"/>
      <c r="AE21" s="421"/>
      <c r="AF21" s="421"/>
      <c r="AG21" s="421"/>
      <c r="AH21" s="421"/>
      <c r="AI21" s="421"/>
      <c r="AJ21" s="421"/>
      <c r="AK21" s="421"/>
      <c r="AL21" s="421"/>
      <c r="AM21" s="421"/>
      <c r="AN21" s="421"/>
      <c r="AO21" s="421"/>
      <c r="AP21" s="421"/>
      <c r="AQ21" s="421"/>
      <c r="AR21" s="421"/>
      <c r="AS21" s="421"/>
      <c r="AT21" s="421"/>
      <c r="AU21" s="421"/>
      <c r="AV21" s="421"/>
      <c r="AW21" s="421"/>
      <c r="AX21" s="421"/>
      <c r="AY21" s="421"/>
      <c r="AZ21" s="421"/>
      <c r="BA21" s="421"/>
    </row>
    <row r="22" spans="1:62" ht="14.25" x14ac:dyDescent="0.25">
      <c r="C22" s="92"/>
      <c r="D22" s="92"/>
      <c r="E22" s="92"/>
      <c r="F22" s="92"/>
      <c r="G22" s="92"/>
      <c r="H22" s="92"/>
      <c r="I22" s="92"/>
      <c r="J22" s="92"/>
      <c r="K22" s="92"/>
      <c r="L22" s="92"/>
      <c r="M22" s="92"/>
      <c r="N22" s="92"/>
      <c r="O22" s="92"/>
      <c r="P22" s="92"/>
      <c r="Q22" s="92"/>
      <c r="R22" s="93"/>
      <c r="S22" s="93"/>
      <c r="T22" s="93"/>
      <c r="U22" s="93"/>
      <c r="V22" s="93"/>
      <c r="W22" s="93"/>
      <c r="X22" s="93"/>
      <c r="Y22" s="93"/>
      <c r="Z22" s="93"/>
      <c r="AA22" s="93"/>
      <c r="AB22" s="93"/>
      <c r="AC22" s="93"/>
      <c r="AD22" s="93"/>
      <c r="AE22" s="93"/>
      <c r="AF22" s="93"/>
      <c r="AG22" s="93"/>
      <c r="AH22" s="93"/>
      <c r="AI22" s="93"/>
      <c r="AJ22" s="93"/>
      <c r="AK22" s="93"/>
      <c r="AL22" s="93"/>
      <c r="AM22" s="93"/>
      <c r="AN22" s="93"/>
      <c r="AO22" s="93"/>
      <c r="AP22" s="93"/>
      <c r="AQ22" s="93"/>
      <c r="AR22" s="93"/>
      <c r="AS22" s="93"/>
      <c r="AT22" s="93"/>
      <c r="AU22" s="93"/>
      <c r="AV22" s="93"/>
      <c r="AW22" s="93"/>
      <c r="AX22" s="93"/>
      <c r="AY22" s="93"/>
      <c r="AZ22" s="93"/>
      <c r="BA22" s="93"/>
    </row>
    <row r="23" spans="1:62" ht="15.75" customHeight="1" x14ac:dyDescent="0.25">
      <c r="C23" s="242" t="s">
        <v>196</v>
      </c>
      <c r="D23" s="242"/>
      <c r="E23" s="242"/>
      <c r="F23" s="242"/>
      <c r="G23" s="242"/>
      <c r="H23" s="242"/>
      <c r="I23" s="242"/>
      <c r="J23" s="242"/>
      <c r="K23" s="242"/>
      <c r="L23" s="242"/>
      <c r="M23" s="242"/>
      <c r="N23" s="242"/>
      <c r="O23" s="242"/>
      <c r="P23" s="242"/>
      <c r="Q23" s="232"/>
      <c r="R23" s="232"/>
      <c r="S23" s="232"/>
      <c r="T23" s="232"/>
      <c r="U23" s="232"/>
      <c r="V23" s="232"/>
      <c r="W23" s="232"/>
      <c r="X23" s="232"/>
      <c r="Y23" s="232"/>
      <c r="Z23" s="232"/>
      <c r="AA23" s="232"/>
      <c r="AB23" s="232"/>
      <c r="AC23" s="232"/>
      <c r="AD23" s="232"/>
      <c r="AE23" s="232"/>
      <c r="AF23" s="232"/>
      <c r="AG23" s="232"/>
      <c r="AH23" s="232"/>
      <c r="AI23" s="232"/>
      <c r="AJ23" s="232"/>
      <c r="AK23" s="232"/>
      <c r="AL23" s="232"/>
      <c r="AM23" s="232"/>
      <c r="AN23" s="232"/>
      <c r="AO23" s="232"/>
      <c r="AP23" s="232"/>
      <c r="AQ23" s="232"/>
      <c r="AR23" s="232"/>
      <c r="AS23" s="232"/>
      <c r="AT23" s="232"/>
      <c r="AU23" s="232"/>
      <c r="AV23" s="232"/>
      <c r="AW23" s="232"/>
      <c r="AX23" s="232"/>
      <c r="AY23" s="232"/>
      <c r="AZ23" s="232"/>
      <c r="BA23" s="232"/>
    </row>
    <row r="24" spans="1:62" ht="14.25" x14ac:dyDescent="0.2">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238"/>
      <c r="BA24" s="238"/>
    </row>
    <row r="25" spans="1:62" ht="14.25" x14ac:dyDescent="0.25">
      <c r="C25" s="277" t="s">
        <v>31</v>
      </c>
      <c r="D25" s="277"/>
      <c r="E25" s="277"/>
      <c r="F25" s="172" t="s">
        <v>155</v>
      </c>
      <c r="G25" s="172"/>
      <c r="H25" s="172"/>
      <c r="I25" s="172"/>
      <c r="J25" s="172"/>
      <c r="K25" s="172"/>
      <c r="L25" s="172"/>
      <c r="M25" s="172"/>
      <c r="N25" s="172"/>
      <c r="O25" s="172"/>
      <c r="P25" s="172"/>
      <c r="Q25" s="381" t="s">
        <v>260</v>
      </c>
      <c r="R25" s="381"/>
      <c r="S25" s="381"/>
      <c r="T25" s="381"/>
      <c r="U25" s="381"/>
      <c r="V25" s="381"/>
      <c r="W25" s="381"/>
      <c r="X25" s="381"/>
      <c r="Y25" s="381"/>
      <c r="Z25" s="381"/>
      <c r="AA25" s="381"/>
      <c r="AB25" s="381"/>
      <c r="AC25" s="381" t="s">
        <v>74</v>
      </c>
      <c r="AD25" s="381"/>
      <c r="AE25" s="381"/>
      <c r="AF25" s="381"/>
      <c r="AG25" s="381"/>
      <c r="AH25" s="381"/>
      <c r="AI25" s="381"/>
      <c r="AJ25" s="381"/>
      <c r="AK25" s="381"/>
      <c r="AL25" s="381"/>
      <c r="AM25" s="381"/>
      <c r="AN25" s="381"/>
      <c r="AO25" s="381" t="s">
        <v>78</v>
      </c>
      <c r="AP25" s="381"/>
      <c r="AQ25" s="381"/>
      <c r="AR25" s="381"/>
      <c r="AS25" s="381"/>
      <c r="AT25" s="381"/>
      <c r="AU25" s="381"/>
      <c r="AV25" s="381"/>
      <c r="AW25" s="381"/>
      <c r="AX25" s="381"/>
      <c r="AY25" s="381"/>
      <c r="AZ25" s="381"/>
      <c r="BA25" s="381"/>
    </row>
    <row r="26" spans="1:62" ht="14.25" x14ac:dyDescent="0.25">
      <c r="A26" s="7" t="s">
        <v>162</v>
      </c>
      <c r="C26" s="277"/>
      <c r="D26" s="277"/>
      <c r="E26" s="277"/>
      <c r="F26" s="172"/>
      <c r="G26" s="172"/>
      <c r="H26" s="172"/>
      <c r="I26" s="172"/>
      <c r="J26" s="172"/>
      <c r="K26" s="172"/>
      <c r="L26" s="172"/>
      <c r="M26" s="172"/>
      <c r="N26" s="172"/>
      <c r="O26" s="172"/>
      <c r="P26" s="172"/>
      <c r="Q26" s="219" t="s">
        <v>39</v>
      </c>
      <c r="R26" s="219"/>
      <c r="S26" s="219"/>
      <c r="T26" s="219" t="s">
        <v>23</v>
      </c>
      <c r="U26" s="219"/>
      <c r="V26" s="219"/>
      <c r="W26" s="219" t="s">
        <v>263</v>
      </c>
      <c r="X26" s="219"/>
      <c r="Y26" s="219"/>
      <c r="Z26" s="219" t="s">
        <v>40</v>
      </c>
      <c r="AA26" s="219"/>
      <c r="AB26" s="219"/>
      <c r="AC26" s="219" t="s">
        <v>39</v>
      </c>
      <c r="AD26" s="219"/>
      <c r="AE26" s="219"/>
      <c r="AF26" s="219" t="s">
        <v>23</v>
      </c>
      <c r="AG26" s="219"/>
      <c r="AH26" s="219"/>
      <c r="AI26" s="219" t="s">
        <v>263</v>
      </c>
      <c r="AJ26" s="219"/>
      <c r="AK26" s="219"/>
      <c r="AL26" s="219" t="s">
        <v>40</v>
      </c>
      <c r="AM26" s="219"/>
      <c r="AN26" s="219"/>
      <c r="AO26" s="196" t="s">
        <v>75</v>
      </c>
      <c r="AP26" s="196"/>
      <c r="AQ26" s="196"/>
      <c r="AR26" s="196" t="s">
        <v>76</v>
      </c>
      <c r="AS26" s="196"/>
      <c r="AT26" s="196"/>
      <c r="AU26" s="196" t="s">
        <v>77</v>
      </c>
      <c r="AV26" s="196"/>
      <c r="AW26" s="196"/>
      <c r="AX26" s="196" t="s">
        <v>79</v>
      </c>
      <c r="AY26" s="196"/>
      <c r="AZ26" s="196"/>
      <c r="BA26" s="196"/>
      <c r="BB26" s="1"/>
      <c r="BC26" s="7" t="s">
        <v>187</v>
      </c>
      <c r="BD26" s="1"/>
      <c r="BE26" s="1"/>
      <c r="BF26" s="1"/>
      <c r="BG26" s="1"/>
      <c r="BH26" s="1"/>
      <c r="BI26" s="1"/>
      <c r="BJ26" s="1"/>
    </row>
    <row r="27" spans="1:62" ht="14.25" x14ac:dyDescent="0.25">
      <c r="A27" s="7"/>
      <c r="C27" s="221" t="str">
        <f>IF('Info General'!C24:E24&lt;&gt;"",'Info General'!C24:E24,"")</f>
        <v>HU-001</v>
      </c>
      <c r="D27" s="221"/>
      <c r="E27" s="221"/>
      <c r="F27" s="419" t="str">
        <f>IF('Info General'!F24:T24&lt;&gt;"",'Info General'!F24:T24,"")</f>
        <v>Acceso a la plataforma Travelocity</v>
      </c>
      <c r="G27" s="419"/>
      <c r="H27" s="419"/>
      <c r="I27" s="419"/>
      <c r="J27" s="419"/>
      <c r="K27" s="419"/>
      <c r="L27" s="419"/>
      <c r="M27" s="419"/>
      <c r="N27" s="419"/>
      <c r="O27" s="419"/>
      <c r="P27" s="419"/>
      <c r="Q27" s="418">
        <f>'Tiempos Planeados'!AK7</f>
        <v>0.68700000000000006</v>
      </c>
      <c r="R27" s="418"/>
      <c r="S27" s="418"/>
      <c r="T27" s="418">
        <f>'Tiempos Planeados'!AN7</f>
        <v>1.3740000000000001</v>
      </c>
      <c r="U27" s="418"/>
      <c r="V27" s="418"/>
      <c r="W27" s="418">
        <f>'Tiempos Planeados'!AQ7</f>
        <v>1.3740000000000001</v>
      </c>
      <c r="X27" s="418"/>
      <c r="Y27" s="418"/>
      <c r="Z27" s="418">
        <f>'Tiempos Planeados'!AT7</f>
        <v>1.3740000000000001</v>
      </c>
      <c r="AA27" s="418"/>
      <c r="AB27" s="418"/>
      <c r="AC27" s="418">
        <f ca="1">'Tiempos Ejecutados'!AZ7</f>
        <v>0.5</v>
      </c>
      <c r="AD27" s="418"/>
      <c r="AE27" s="418"/>
      <c r="AF27" s="418">
        <f ca="1">'Tiempos Ejecutados'!BC7</f>
        <v>0.75</v>
      </c>
      <c r="AG27" s="418"/>
      <c r="AH27" s="418"/>
      <c r="AI27" s="418">
        <f ca="1">'Tiempos Ejecutados'!BF7</f>
        <v>1</v>
      </c>
      <c r="AJ27" s="418"/>
      <c r="AK27" s="418"/>
      <c r="AL27" s="418">
        <f ca="1">'Tiempos Ejecutados'!BI7</f>
        <v>0.15</v>
      </c>
      <c r="AM27" s="418"/>
      <c r="AN27" s="418"/>
      <c r="AO27" s="273">
        <f t="shared" ref="AO27" ca="1" si="0">SUM(AC27:AN27)+AU27</f>
        <v>16.149999999999999</v>
      </c>
      <c r="AP27" s="273"/>
      <c r="AQ27" s="273"/>
      <c r="AR27" s="273">
        <f t="shared" ref="AR27" ca="1" si="1">SUM(Q27:AB27)-AO27</f>
        <v>-11.340999999999998</v>
      </c>
      <c r="AS27" s="273"/>
      <c r="AT27" s="273"/>
      <c r="AU27" s="273">
        <f t="shared" ref="AU27" si="2">BC27</f>
        <v>13.75</v>
      </c>
      <c r="AV27" s="273"/>
      <c r="AW27" s="273"/>
      <c r="AX27" s="415">
        <f t="shared" ref="AX27" si="3">IF(AU27&lt;&gt;0,AU27/SUM(Q27:AB27),0)</f>
        <v>2.8592222915367018</v>
      </c>
      <c r="AY27" s="415"/>
      <c r="AZ27" s="415"/>
      <c r="BA27" s="415"/>
      <c r="BB27" s="1"/>
      <c r="BC27" s="7">
        <f>+SUMIF(Desfases!$C$7:$C$6996,'Reporte Seguimiento'!C27,Desfases!$AT$7:$AT$6996)</f>
        <v>13.75</v>
      </c>
      <c r="BD27" s="1"/>
      <c r="BE27" s="1"/>
      <c r="BF27" s="1"/>
      <c r="BG27" s="1"/>
      <c r="BH27" s="1"/>
      <c r="BI27" s="1"/>
      <c r="BJ27" s="1"/>
    </row>
    <row r="28" spans="1:62" ht="14.25" x14ac:dyDescent="0.25">
      <c r="A28" s="7"/>
      <c r="C28" s="221" t="str">
        <f>IF('Info General'!C25:E25&lt;&gt;"",'Info General'!C25:E25,"")</f>
        <v>HU-002</v>
      </c>
      <c r="D28" s="221"/>
      <c r="E28" s="221"/>
      <c r="F28" s="419" t="str">
        <f>IF('Info General'!F25:T25&lt;&gt;"",'Info General'!F25:T25,"")</f>
        <v>Busqueda de Actividades turisticas</v>
      </c>
      <c r="G28" s="419"/>
      <c r="H28" s="419"/>
      <c r="I28" s="419"/>
      <c r="J28" s="419"/>
      <c r="K28" s="419"/>
      <c r="L28" s="419"/>
      <c r="M28" s="419"/>
      <c r="N28" s="419"/>
      <c r="O28" s="419"/>
      <c r="P28" s="419"/>
      <c r="Q28" s="418">
        <f>'Tiempos Planeados'!AK8</f>
        <v>0.68700000000000006</v>
      </c>
      <c r="R28" s="418"/>
      <c r="S28" s="418"/>
      <c r="T28" s="418">
        <f>'Tiempos Planeados'!AN8</f>
        <v>1.3740000000000001</v>
      </c>
      <c r="U28" s="418"/>
      <c r="V28" s="418"/>
      <c r="W28" s="418">
        <f>'Tiempos Planeados'!AQ8</f>
        <v>2.0609999999999999</v>
      </c>
      <c r="X28" s="418"/>
      <c r="Y28" s="418"/>
      <c r="Z28" s="418">
        <f>'Tiempos Planeados'!AT8</f>
        <v>1.3740000000000001</v>
      </c>
      <c r="AA28" s="418"/>
      <c r="AB28" s="418"/>
      <c r="AC28" s="418">
        <f ca="1">'Tiempos Ejecutados'!AZ8</f>
        <v>0.75</v>
      </c>
      <c r="AD28" s="418"/>
      <c r="AE28" s="418"/>
      <c r="AF28" s="418">
        <f ca="1">'Tiempos Ejecutados'!BC8</f>
        <v>1.5</v>
      </c>
      <c r="AG28" s="418"/>
      <c r="AH28" s="418"/>
      <c r="AI28" s="418">
        <f ca="1">'Tiempos Ejecutados'!BF8</f>
        <v>1</v>
      </c>
      <c r="AJ28" s="418"/>
      <c r="AK28" s="418"/>
      <c r="AL28" s="418">
        <f ca="1">'Tiempos Ejecutados'!BI8</f>
        <v>0.15</v>
      </c>
      <c r="AM28" s="418"/>
      <c r="AN28" s="418"/>
      <c r="AO28" s="273">
        <f t="shared" ref="AO28" ca="1" si="4">SUM(AC28:AN28)+AU28</f>
        <v>17.899999999999999</v>
      </c>
      <c r="AP28" s="273"/>
      <c r="AQ28" s="273"/>
      <c r="AR28" s="273">
        <f t="shared" ref="AR28" ca="1" si="5">SUM(Q28:AB28)-AO28</f>
        <v>-12.403999999999998</v>
      </c>
      <c r="AS28" s="273"/>
      <c r="AT28" s="273"/>
      <c r="AU28" s="273">
        <f t="shared" ref="AU28" si="6">BC28</f>
        <v>14.5</v>
      </c>
      <c r="AV28" s="273"/>
      <c r="AW28" s="273"/>
      <c r="AX28" s="415">
        <f t="shared" ref="AX28" si="7">IF(AU28&lt;&gt;0,AU28/SUM(Q28:AB28),0)</f>
        <v>2.6382823871906838</v>
      </c>
      <c r="AY28" s="415"/>
      <c r="AZ28" s="415"/>
      <c r="BA28" s="415"/>
      <c r="BB28" s="1"/>
      <c r="BC28" s="7">
        <f>+SUMIF(Desfases!$C$7:$C$6996,'Reporte Seguimiento'!C28,Desfases!$AT$7:$AT$6996)</f>
        <v>14.5</v>
      </c>
      <c r="BD28" s="1"/>
      <c r="BE28" s="1"/>
      <c r="BF28" s="1"/>
      <c r="BG28" s="1"/>
      <c r="BH28" s="1"/>
      <c r="BI28" s="1"/>
      <c r="BJ28" s="1"/>
    </row>
    <row r="29" spans="1:62" ht="14.25" x14ac:dyDescent="0.25">
      <c r="A29" s="7"/>
      <c r="C29" s="221" t="str">
        <f>IF('Info General'!C26:E26&lt;&gt;"",'Info General'!C26:E26,"")</f>
        <v>HU-003</v>
      </c>
      <c r="D29" s="221"/>
      <c r="E29" s="221"/>
      <c r="F29" s="419" t="str">
        <f>IF('Info General'!F26:T26&lt;&gt;"",'Info General'!F26:T26,"")</f>
        <v>Reserva de autos</v>
      </c>
      <c r="G29" s="419"/>
      <c r="H29" s="419"/>
      <c r="I29" s="419"/>
      <c r="J29" s="419"/>
      <c r="K29" s="419"/>
      <c r="L29" s="419"/>
      <c r="M29" s="419"/>
      <c r="N29" s="419"/>
      <c r="O29" s="419"/>
      <c r="P29" s="419"/>
      <c r="Q29" s="418">
        <f>'Tiempos Planeados'!AK9</f>
        <v>0.68700000000000006</v>
      </c>
      <c r="R29" s="418"/>
      <c r="S29" s="418"/>
      <c r="T29" s="418">
        <f>'Tiempos Planeados'!AN9</f>
        <v>2.0609999999999999</v>
      </c>
      <c r="U29" s="418"/>
      <c r="V29" s="418"/>
      <c r="W29" s="418">
        <f>'Tiempos Planeados'!AQ9</f>
        <v>2.7480000000000002</v>
      </c>
      <c r="X29" s="418"/>
      <c r="Y29" s="418"/>
      <c r="Z29" s="418">
        <f>'Tiempos Planeados'!AT9</f>
        <v>1.3740000000000001</v>
      </c>
      <c r="AA29" s="418"/>
      <c r="AB29" s="418"/>
      <c r="AC29" s="418">
        <f ca="1">'Tiempos Ejecutados'!AZ9</f>
        <v>0.75</v>
      </c>
      <c r="AD29" s="418"/>
      <c r="AE29" s="418"/>
      <c r="AF29" s="418">
        <f ca="1">'Tiempos Ejecutados'!BC9</f>
        <v>1.75</v>
      </c>
      <c r="AG29" s="418"/>
      <c r="AH29" s="418"/>
      <c r="AI29" s="418">
        <f ca="1">'Tiempos Ejecutados'!BF9</f>
        <v>0.25</v>
      </c>
      <c r="AJ29" s="418"/>
      <c r="AK29" s="418"/>
      <c r="AL29" s="418">
        <f ca="1">'Tiempos Ejecutados'!BI9</f>
        <v>0.15</v>
      </c>
      <c r="AM29" s="418"/>
      <c r="AN29" s="418"/>
      <c r="AO29" s="273">
        <f t="shared" ref="AO29" ca="1" si="8">SUM(AC29:AN29)+AU29</f>
        <v>17.899999999999999</v>
      </c>
      <c r="AP29" s="273"/>
      <c r="AQ29" s="273"/>
      <c r="AR29" s="273">
        <f t="shared" ref="AR29" ca="1" si="9">SUM(Q29:AB29)-AO29</f>
        <v>-11.029999999999998</v>
      </c>
      <c r="AS29" s="273"/>
      <c r="AT29" s="273"/>
      <c r="AU29" s="273">
        <f t="shared" ref="AU29" si="10">BC29</f>
        <v>15</v>
      </c>
      <c r="AV29" s="273"/>
      <c r="AW29" s="273"/>
      <c r="AX29" s="415">
        <f t="shared" ref="AX29" si="11">IF(AU29&lt;&gt;0,AU29/SUM(Q29:AB29),0)</f>
        <v>2.1834061135371177</v>
      </c>
      <c r="AY29" s="415"/>
      <c r="AZ29" s="415"/>
      <c r="BA29" s="415"/>
      <c r="BB29" s="1"/>
      <c r="BC29" s="7">
        <f>+SUMIF(Desfases!$C$7:$C$6996,'Reporte Seguimiento'!C29,Desfases!$AT$7:$AT$6996)</f>
        <v>15</v>
      </c>
      <c r="BD29" s="1"/>
      <c r="BE29" s="1"/>
      <c r="BF29" s="1"/>
      <c r="BG29" s="1"/>
      <c r="BH29" s="1"/>
      <c r="BI29" s="1"/>
      <c r="BJ29" s="1"/>
    </row>
    <row r="30" spans="1:62" ht="14.25" x14ac:dyDescent="0.25">
      <c r="A30" s="7"/>
      <c r="C30" s="221" t="str">
        <f>IF('Info General'!C27:E27&lt;&gt;"",'Info General'!C27:E27,"")</f>
        <v>HU-004</v>
      </c>
      <c r="D30" s="221"/>
      <c r="E30" s="221"/>
      <c r="F30" s="419" t="str">
        <f>IF('Info General'!F27:T27&lt;&gt;"",'Info General'!F27:T27,"")</f>
        <v>Reserva de hoteles</v>
      </c>
      <c r="G30" s="419"/>
      <c r="H30" s="419"/>
      <c r="I30" s="419"/>
      <c r="J30" s="419"/>
      <c r="K30" s="419"/>
      <c r="L30" s="419"/>
      <c r="M30" s="419"/>
      <c r="N30" s="419"/>
      <c r="O30" s="419"/>
      <c r="P30" s="419"/>
      <c r="Q30" s="418">
        <f>'Tiempos Planeados'!AK10</f>
        <v>0.68700000000000006</v>
      </c>
      <c r="R30" s="418"/>
      <c r="S30" s="418"/>
      <c r="T30" s="418">
        <f>'Tiempos Planeados'!AN10</f>
        <v>2.7480000000000002</v>
      </c>
      <c r="U30" s="418"/>
      <c r="V30" s="418"/>
      <c r="W30" s="418">
        <f>'Tiempos Planeados'!AQ10</f>
        <v>3.4350000000000001</v>
      </c>
      <c r="X30" s="418"/>
      <c r="Y30" s="418"/>
      <c r="Z30" s="418">
        <f>'Tiempos Planeados'!AT10</f>
        <v>1.3740000000000001</v>
      </c>
      <c r="AA30" s="418"/>
      <c r="AB30" s="418"/>
      <c r="AC30" s="418">
        <f ca="1">'Tiempos Ejecutados'!AZ10</f>
        <v>0.75</v>
      </c>
      <c r="AD30" s="418"/>
      <c r="AE30" s="418"/>
      <c r="AF30" s="418">
        <f ca="1">'Tiempos Ejecutados'!BC10</f>
        <v>1.25</v>
      </c>
      <c r="AG30" s="418"/>
      <c r="AH30" s="418"/>
      <c r="AI30" s="418">
        <f ca="1">'Tiempos Ejecutados'!BF10</f>
        <v>0.25</v>
      </c>
      <c r="AJ30" s="418"/>
      <c r="AK30" s="418"/>
      <c r="AL30" s="418">
        <f ca="1">'Tiempos Ejecutados'!BI10</f>
        <v>0.15</v>
      </c>
      <c r="AM30" s="418"/>
      <c r="AN30" s="418"/>
      <c r="AO30" s="273">
        <f t="shared" ref="AO30" ca="1" si="12">SUM(AC30:AN30)+AU30</f>
        <v>16.399999999999999</v>
      </c>
      <c r="AP30" s="273"/>
      <c r="AQ30" s="273"/>
      <c r="AR30" s="273">
        <f t="shared" ref="AR30" ca="1" si="13">SUM(Q30:AB30)-AO30</f>
        <v>-8.155999999999997</v>
      </c>
      <c r="AS30" s="273"/>
      <c r="AT30" s="273"/>
      <c r="AU30" s="273">
        <f t="shared" ref="AU30" si="14">BC30</f>
        <v>14</v>
      </c>
      <c r="AV30" s="273"/>
      <c r="AW30" s="273"/>
      <c r="AX30" s="415">
        <f t="shared" ref="AX30" si="15">IF(AU30&lt;&gt;0,AU30/SUM(Q30:AB30),0)</f>
        <v>1.6982047549733137</v>
      </c>
      <c r="AY30" s="415"/>
      <c r="AZ30" s="415"/>
      <c r="BA30" s="415"/>
      <c r="BB30" s="1"/>
      <c r="BC30" s="7">
        <f>+SUMIF(Desfases!$C$7:$C$6996,'Reporte Seguimiento'!C30,Desfases!$AT$7:$AT$6996)</f>
        <v>14</v>
      </c>
      <c r="BD30" s="1"/>
      <c r="BE30" s="1"/>
      <c r="BF30" s="1"/>
      <c r="BG30" s="1"/>
      <c r="BH30" s="1"/>
      <c r="BI30" s="1"/>
      <c r="BJ30" s="1"/>
    </row>
    <row r="31" spans="1:62" ht="3.75" customHeight="1" x14ac:dyDescent="0.2">
      <c r="A31" s="7" t="s">
        <v>161</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79"/>
      <c r="AC31" s="379"/>
      <c r="AD31" s="379"/>
      <c r="AE31" s="379"/>
      <c r="AF31" s="379"/>
      <c r="AG31" s="379"/>
      <c r="AH31" s="379"/>
      <c r="AI31" s="379"/>
      <c r="AJ31" s="379"/>
      <c r="AK31" s="379"/>
      <c r="AL31" s="379"/>
      <c r="AM31" s="379"/>
      <c r="AN31" s="379"/>
      <c r="AO31" s="379"/>
      <c r="AP31" s="379"/>
      <c r="AQ31" s="379"/>
      <c r="AR31" s="379"/>
      <c r="AS31" s="379"/>
      <c r="AT31" s="379"/>
      <c r="AU31" s="379"/>
      <c r="AV31" s="379"/>
      <c r="AW31" s="379"/>
      <c r="AX31" s="379"/>
      <c r="AY31" s="379"/>
      <c r="AZ31" s="379"/>
      <c r="BA31" s="379"/>
      <c r="BB31" s="1"/>
      <c r="BC31" s="1"/>
      <c r="BD31" s="1"/>
      <c r="BE31" s="1"/>
      <c r="BF31" s="1"/>
      <c r="BG31" s="1"/>
      <c r="BH31" s="1"/>
      <c r="BI31" s="1"/>
      <c r="BJ31" s="1"/>
    </row>
    <row r="32" spans="1:62" ht="14.25" x14ac:dyDescent="0.25">
      <c r="C32" s="186" t="s">
        <v>267</v>
      </c>
      <c r="D32" s="187"/>
      <c r="E32" s="187"/>
      <c r="F32" s="187"/>
      <c r="G32" s="187"/>
      <c r="H32" s="187"/>
      <c r="I32" s="187"/>
      <c r="J32" s="187"/>
      <c r="K32" s="187"/>
      <c r="L32" s="187"/>
      <c r="M32" s="187"/>
      <c r="N32" s="187"/>
      <c r="O32" s="187"/>
      <c r="P32" s="188"/>
      <c r="Q32" s="418">
        <f>SUM(Q26:Q31)</f>
        <v>2.7480000000000002</v>
      </c>
      <c r="R32" s="418"/>
      <c r="S32" s="418"/>
      <c r="T32" s="418">
        <f>SUM(T26:T31)</f>
        <v>7.5570000000000004</v>
      </c>
      <c r="U32" s="418"/>
      <c r="V32" s="418"/>
      <c r="W32" s="418">
        <f>SUM(W26:W31)</f>
        <v>9.6180000000000003</v>
      </c>
      <c r="X32" s="418"/>
      <c r="Y32" s="418"/>
      <c r="Z32" s="418">
        <f>SUM(Z26:Z31)</f>
        <v>5.4960000000000004</v>
      </c>
      <c r="AA32" s="418"/>
      <c r="AB32" s="418"/>
      <c r="AC32" s="418">
        <f ca="1">SUM(AC26:AC31)</f>
        <v>2.75</v>
      </c>
      <c r="AD32" s="418"/>
      <c r="AE32" s="418"/>
      <c r="AF32" s="418">
        <f ca="1">SUM(AF26:AF31)</f>
        <v>5.25</v>
      </c>
      <c r="AG32" s="418"/>
      <c r="AH32" s="418"/>
      <c r="AI32" s="418">
        <f ca="1">SUM(AI26:AI31)</f>
        <v>2.5</v>
      </c>
      <c r="AJ32" s="418"/>
      <c r="AK32" s="418"/>
      <c r="AL32" s="418">
        <f ca="1">SUM(AL26:AL31)</f>
        <v>0.6</v>
      </c>
      <c r="AM32" s="418"/>
      <c r="AN32" s="418"/>
      <c r="AO32" s="418">
        <f ca="1">SUM(AO26:AO31)</f>
        <v>68.349999999999994</v>
      </c>
      <c r="AP32" s="418"/>
      <c r="AQ32" s="418"/>
      <c r="AR32" s="418">
        <f ca="1">SUM(AR26:AR31)</f>
        <v>-42.93099999999999</v>
      </c>
      <c r="AS32" s="418"/>
      <c r="AT32" s="418"/>
      <c r="AU32" s="418">
        <f>SUM(AU26:AU31)</f>
        <v>57.25</v>
      </c>
      <c r="AV32" s="418"/>
      <c r="AW32" s="418"/>
      <c r="AX32" s="415">
        <f>AVERAGE(AX26:AX31)</f>
        <v>2.3447788868094541</v>
      </c>
      <c r="AY32" s="415"/>
      <c r="AZ32" s="415"/>
      <c r="BA32" s="415"/>
    </row>
    <row r="33" spans="1:53" ht="14.25" x14ac:dyDescent="0.25">
      <c r="C33" s="92"/>
      <c r="D33" s="92"/>
      <c r="E33" s="92"/>
      <c r="F33" s="92"/>
      <c r="G33" s="92"/>
      <c r="H33" s="92"/>
      <c r="I33" s="92"/>
      <c r="J33" s="92"/>
      <c r="K33" s="92"/>
      <c r="L33" s="92"/>
      <c r="M33" s="92"/>
      <c r="N33" s="92"/>
      <c r="O33" s="92"/>
      <c r="P33" s="92"/>
      <c r="Q33" s="92"/>
      <c r="R33" s="93"/>
      <c r="S33" s="93"/>
      <c r="T33" s="93"/>
      <c r="U33" s="93"/>
      <c r="V33" s="93"/>
      <c r="W33" s="93"/>
      <c r="X33" s="93"/>
      <c r="Y33" s="93"/>
      <c r="Z33" s="93"/>
      <c r="AA33" s="93"/>
      <c r="AB33" s="93"/>
      <c r="AC33" s="93"/>
      <c r="AD33" s="93"/>
      <c r="AE33" s="93"/>
      <c r="AF33" s="93"/>
      <c r="AG33" s="93"/>
      <c r="AH33" s="93"/>
      <c r="AI33" s="93"/>
      <c r="AJ33" s="93"/>
      <c r="AK33" s="93"/>
      <c r="AL33" s="93"/>
      <c r="AM33" s="93"/>
      <c r="AN33" s="93"/>
      <c r="AO33" s="93"/>
      <c r="AP33" s="93"/>
      <c r="AQ33" s="93"/>
      <c r="AR33" s="93"/>
      <c r="AS33" s="93"/>
      <c r="AT33" s="93"/>
      <c r="AU33" s="93"/>
      <c r="AV33" s="93"/>
      <c r="AW33" s="93"/>
      <c r="AX33" s="93"/>
      <c r="AY33" s="93"/>
      <c r="AZ33" s="93"/>
      <c r="BA33" s="93"/>
    </row>
    <row r="34" spans="1:53" ht="15" thickBot="1" x14ac:dyDescent="0.3">
      <c r="C34" s="242" t="s">
        <v>80</v>
      </c>
      <c r="D34" s="242"/>
      <c r="E34" s="242"/>
      <c r="F34" s="242"/>
      <c r="G34" s="242"/>
      <c r="H34" s="242"/>
      <c r="I34" s="242"/>
      <c r="J34" s="242"/>
      <c r="K34" s="242"/>
      <c r="L34" s="242"/>
      <c r="M34" s="242"/>
      <c r="N34" s="242"/>
      <c r="O34" s="242"/>
      <c r="P34" s="242"/>
      <c r="Q34" s="94"/>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row>
    <row r="35" spans="1:53" ht="14.25" x14ac:dyDescent="0.2">
      <c r="C35" s="435"/>
      <c r="D35" s="435"/>
      <c r="E35" s="435"/>
      <c r="F35" s="435"/>
      <c r="G35" s="435"/>
      <c r="H35" s="435"/>
      <c r="I35" s="435"/>
      <c r="J35" s="435"/>
      <c r="K35" s="435"/>
      <c r="L35" s="435"/>
      <c r="M35" s="435"/>
      <c r="N35" s="435"/>
      <c r="O35" s="435"/>
      <c r="P35" s="435"/>
      <c r="Q35" s="436"/>
      <c r="R35" s="436"/>
      <c r="S35" s="436"/>
      <c r="T35" s="436"/>
      <c r="U35" s="436"/>
      <c r="V35" s="436"/>
      <c r="W35" s="436"/>
      <c r="X35" s="436"/>
      <c r="Y35" s="436"/>
      <c r="Z35" s="436"/>
      <c r="AA35" s="436"/>
      <c r="AB35" s="436"/>
      <c r="AC35" s="436"/>
      <c r="AD35" s="436"/>
      <c r="AE35" s="436"/>
      <c r="AF35" s="436"/>
      <c r="AG35" s="436"/>
      <c r="AH35" s="436"/>
      <c r="AI35" s="436"/>
      <c r="AJ35" s="436"/>
      <c r="AK35" s="436"/>
      <c r="AL35" s="436"/>
      <c r="AM35" s="436"/>
      <c r="AN35" s="436"/>
      <c r="AO35" s="436"/>
      <c r="AP35" s="436"/>
      <c r="AQ35" s="436"/>
      <c r="AR35" s="436"/>
      <c r="AS35" s="436"/>
      <c r="AT35" s="436"/>
      <c r="AU35" s="436"/>
      <c r="AV35" s="436"/>
      <c r="AW35" s="436"/>
      <c r="AX35" s="436"/>
      <c r="AY35" s="436"/>
      <c r="AZ35" s="436"/>
      <c r="BA35" s="436"/>
    </row>
    <row r="36" spans="1:53" ht="15" customHeight="1" x14ac:dyDescent="0.2">
      <c r="C36" s="277" t="s">
        <v>31</v>
      </c>
      <c r="D36" s="277"/>
      <c r="E36" s="277"/>
      <c r="F36" s="172" t="s">
        <v>23</v>
      </c>
      <c r="G36" s="172"/>
      <c r="H36" s="172"/>
      <c r="I36" s="172"/>
      <c r="J36" s="172"/>
      <c r="K36" s="172"/>
      <c r="L36" s="172"/>
      <c r="M36" s="172"/>
      <c r="N36" s="172"/>
      <c r="O36" s="172" t="s">
        <v>24</v>
      </c>
      <c r="P36" s="172"/>
      <c r="Q36" s="172"/>
      <c r="R36" s="172"/>
      <c r="S36" s="172"/>
      <c r="T36" s="172"/>
      <c r="U36" s="172"/>
      <c r="V36" s="172"/>
      <c r="W36" s="172"/>
      <c r="X36" s="277" t="s">
        <v>83</v>
      </c>
      <c r="Y36" s="277"/>
      <c r="Z36" s="277"/>
      <c r="AA36" s="277"/>
      <c r="AB36" s="277"/>
      <c r="AC36" s="277"/>
      <c r="AD36" s="277"/>
      <c r="AE36" s="277"/>
      <c r="AF36" s="277"/>
      <c r="AG36" s="277"/>
      <c r="AH36" s="277"/>
      <c r="AI36" s="277"/>
      <c r="AJ36" s="277" t="s">
        <v>84</v>
      </c>
      <c r="AK36" s="277"/>
      <c r="AL36" s="277"/>
      <c r="AM36" s="277"/>
      <c r="AN36" s="277"/>
      <c r="AO36" s="277"/>
      <c r="AP36" s="277" t="s">
        <v>25</v>
      </c>
      <c r="AQ36" s="277"/>
      <c r="AR36" s="277"/>
      <c r="AS36" s="277"/>
      <c r="AT36" s="277"/>
      <c r="AU36" s="277"/>
      <c r="AV36" s="277" t="s">
        <v>224</v>
      </c>
      <c r="AW36" s="277"/>
      <c r="AX36" s="277"/>
      <c r="AY36" s="277"/>
      <c r="AZ36" s="277"/>
      <c r="BA36" s="277"/>
    </row>
    <row r="37" spans="1:53" ht="14.25" x14ac:dyDescent="0.2">
      <c r="A37" s="7" t="s">
        <v>162</v>
      </c>
      <c r="C37" s="277"/>
      <c r="D37" s="277"/>
      <c r="E37" s="277"/>
      <c r="F37" s="219" t="s">
        <v>81</v>
      </c>
      <c r="G37" s="219"/>
      <c r="H37" s="219"/>
      <c r="I37" s="219" t="s">
        <v>82</v>
      </c>
      <c r="J37" s="219"/>
      <c r="K37" s="219"/>
      <c r="L37" s="219" t="s">
        <v>86</v>
      </c>
      <c r="M37" s="219"/>
      <c r="N37" s="219"/>
      <c r="O37" s="219" t="s">
        <v>81</v>
      </c>
      <c r="P37" s="219"/>
      <c r="Q37" s="219"/>
      <c r="R37" s="219" t="s">
        <v>82</v>
      </c>
      <c r="S37" s="219"/>
      <c r="T37" s="219"/>
      <c r="U37" s="219" t="s">
        <v>85</v>
      </c>
      <c r="V37" s="219"/>
      <c r="W37" s="219"/>
      <c r="X37" s="219" t="s">
        <v>23</v>
      </c>
      <c r="Y37" s="219"/>
      <c r="Z37" s="219"/>
      <c r="AA37" s="219"/>
      <c r="AB37" s="219"/>
      <c r="AC37" s="219"/>
      <c r="AD37" s="219" t="s">
        <v>24</v>
      </c>
      <c r="AE37" s="219"/>
      <c r="AF37" s="219"/>
      <c r="AG37" s="219"/>
      <c r="AH37" s="219"/>
      <c r="AI37" s="219"/>
      <c r="AJ37" s="277"/>
      <c r="AK37" s="277"/>
      <c r="AL37" s="277"/>
      <c r="AM37" s="277"/>
      <c r="AN37" s="277"/>
      <c r="AO37" s="277"/>
      <c r="AP37" s="277"/>
      <c r="AQ37" s="277"/>
      <c r="AR37" s="277"/>
      <c r="AS37" s="277"/>
      <c r="AT37" s="277"/>
      <c r="AU37" s="277"/>
      <c r="AV37" s="277"/>
      <c r="AW37" s="277"/>
      <c r="AX37" s="277"/>
      <c r="AY37" s="277"/>
      <c r="AZ37" s="277"/>
      <c r="BA37" s="277"/>
    </row>
    <row r="38" spans="1:53" ht="14.25" x14ac:dyDescent="0.25">
      <c r="A38" s="7"/>
      <c r="C38" s="221" t="str">
        <f>IF('Info General'!C24:E24&lt;&gt;"",'Info General'!C24:E24,"")</f>
        <v>HU-001</v>
      </c>
      <c r="D38" s="221"/>
      <c r="E38" s="221"/>
      <c r="F38" s="416">
        <f>'Resumen C.P.'!F6:H6</f>
        <v>3</v>
      </c>
      <c r="G38" s="416"/>
      <c r="H38" s="416"/>
      <c r="I38" s="416" t="str">
        <f>'Resumen C.P.'!I6:K6</f>
        <v xml:space="preserve"> </v>
      </c>
      <c r="J38" s="416"/>
      <c r="K38" s="416"/>
      <c r="L38" s="416">
        <f>'Resumen C.P.'!L6:N6</f>
        <v>3</v>
      </c>
      <c r="M38" s="416"/>
      <c r="N38" s="416"/>
      <c r="O38" s="416">
        <f>'Resumen C.P.'!O6:Q6</f>
        <v>3</v>
      </c>
      <c r="P38" s="416"/>
      <c r="Q38" s="416"/>
      <c r="R38" s="272">
        <f>'Resumen C.P.'!R6:T6</f>
        <v>0</v>
      </c>
      <c r="S38" s="272"/>
      <c r="T38" s="272"/>
      <c r="U38" s="272">
        <f>'Resumen C.P.'!U6:W6</f>
        <v>3</v>
      </c>
      <c r="V38" s="272"/>
      <c r="W38" s="272"/>
      <c r="X38" s="272">
        <f>'Resumen C.P.'!X6</f>
        <v>0</v>
      </c>
      <c r="Y38" s="272"/>
      <c r="Z38" s="272"/>
      <c r="AA38" s="272"/>
      <c r="AB38" s="272"/>
      <c r="AC38" s="272"/>
      <c r="AD38" s="272">
        <f>'Resumen C.P.'!AD6</f>
        <v>0</v>
      </c>
      <c r="AE38" s="272"/>
      <c r="AF38" s="272"/>
      <c r="AG38" s="272"/>
      <c r="AH38" s="272"/>
      <c r="AI38" s="272"/>
      <c r="AJ38" s="272">
        <f>'Resumen C.P.'!AJ6:AO6</f>
        <v>0</v>
      </c>
      <c r="AK38" s="272"/>
      <c r="AL38" s="272"/>
      <c r="AM38" s="272"/>
      <c r="AN38" s="272"/>
      <c r="AO38" s="272"/>
      <c r="AP38" s="415">
        <f>'Resumen C.P.'!AV6</f>
        <v>1</v>
      </c>
      <c r="AQ38" s="415"/>
      <c r="AR38" s="415"/>
      <c r="AS38" s="415"/>
      <c r="AT38" s="415"/>
      <c r="AU38" s="415"/>
      <c r="AV38" s="417">
        <f>IF(C38&lt;&gt;"",'Resumen C.P.'!BK6,0)</f>
        <v>0</v>
      </c>
      <c r="AW38" s="272"/>
      <c r="AX38" s="272"/>
      <c r="AY38" s="272"/>
      <c r="AZ38" s="272"/>
      <c r="BA38" s="272"/>
    </row>
    <row r="39" spans="1:53" ht="14.25" x14ac:dyDescent="0.25">
      <c r="A39" s="7"/>
      <c r="C39" s="221" t="str">
        <f>IF('Info General'!C25:E25&lt;&gt;"",'Info General'!C25:E25,"")</f>
        <v>HU-002</v>
      </c>
      <c r="D39" s="221"/>
      <c r="E39" s="221"/>
      <c r="F39" s="416">
        <f>'Resumen C.P.'!F7:H7</f>
        <v>6</v>
      </c>
      <c r="G39" s="416"/>
      <c r="H39" s="416"/>
      <c r="I39" s="416">
        <f>'Resumen C.P.'!I7:K7</f>
        <v>0</v>
      </c>
      <c r="J39" s="416"/>
      <c r="K39" s="416"/>
      <c r="L39" s="416">
        <f>'Resumen C.P.'!L7:N7</f>
        <v>6</v>
      </c>
      <c r="M39" s="416"/>
      <c r="N39" s="416"/>
      <c r="O39" s="416">
        <f>'Resumen C.P.'!O7:Q7</f>
        <v>6</v>
      </c>
      <c r="P39" s="416"/>
      <c r="Q39" s="416"/>
      <c r="R39" s="272">
        <f>'Resumen C.P.'!R7:T7</f>
        <v>0</v>
      </c>
      <c r="S39" s="272"/>
      <c r="T39" s="272"/>
      <c r="U39" s="272">
        <f>'Resumen C.P.'!U7:W7</f>
        <v>6</v>
      </c>
      <c r="V39" s="272"/>
      <c r="W39" s="272"/>
      <c r="X39" s="272">
        <f>'Resumen C.P.'!X7</f>
        <v>0</v>
      </c>
      <c r="Y39" s="272"/>
      <c r="Z39" s="272"/>
      <c r="AA39" s="272"/>
      <c r="AB39" s="272"/>
      <c r="AC39" s="272"/>
      <c r="AD39" s="272">
        <f>'Resumen C.P.'!AD7</f>
        <v>0</v>
      </c>
      <c r="AE39" s="272"/>
      <c r="AF39" s="272"/>
      <c r="AG39" s="272"/>
      <c r="AH39" s="272"/>
      <c r="AI39" s="272"/>
      <c r="AJ39" s="272">
        <f>'Resumen C.P.'!AJ7:AO7</f>
        <v>0</v>
      </c>
      <c r="AK39" s="272"/>
      <c r="AL39" s="272"/>
      <c r="AM39" s="272"/>
      <c r="AN39" s="272"/>
      <c r="AO39" s="272"/>
      <c r="AP39" s="415">
        <f>'Resumen C.P.'!AV7</f>
        <v>1</v>
      </c>
      <c r="AQ39" s="415"/>
      <c r="AR39" s="415"/>
      <c r="AS39" s="415"/>
      <c r="AT39" s="415"/>
      <c r="AU39" s="415"/>
      <c r="AV39" s="417">
        <f>IF(C39&lt;&gt;"",'Resumen C.P.'!BK7,0)</f>
        <v>0</v>
      </c>
      <c r="AW39" s="272"/>
      <c r="AX39" s="272"/>
      <c r="AY39" s="272"/>
      <c r="AZ39" s="272"/>
      <c r="BA39" s="272"/>
    </row>
    <row r="40" spans="1:53" ht="14.25" x14ac:dyDescent="0.25">
      <c r="A40" s="7"/>
      <c r="C40" s="221" t="str">
        <f>IF('Info General'!C26:E26&lt;&gt;"",'Info General'!C26:E26,"")</f>
        <v>HU-003</v>
      </c>
      <c r="D40" s="221"/>
      <c r="E40" s="221"/>
      <c r="F40" s="416">
        <f>'Resumen C.P.'!F8:H8</f>
        <v>0</v>
      </c>
      <c r="G40" s="416"/>
      <c r="H40" s="416"/>
      <c r="I40" s="416">
        <f>'Resumen C.P.'!I8:K8</f>
        <v>0</v>
      </c>
      <c r="J40" s="416"/>
      <c r="K40" s="416"/>
      <c r="L40" s="416">
        <f>'Resumen C.P.'!L8:N8</f>
        <v>0</v>
      </c>
      <c r="M40" s="416"/>
      <c r="N40" s="416"/>
      <c r="O40" s="416">
        <f>'Resumen C.P.'!O8:Q8</f>
        <v>0</v>
      </c>
      <c r="P40" s="416"/>
      <c r="Q40" s="416"/>
      <c r="R40" s="272">
        <f>'Resumen C.P.'!R8:T8</f>
        <v>0</v>
      </c>
      <c r="S40" s="272"/>
      <c r="T40" s="272"/>
      <c r="U40" s="272">
        <f>'Resumen C.P.'!U8:W8</f>
        <v>0</v>
      </c>
      <c r="V40" s="272"/>
      <c r="W40" s="272"/>
      <c r="X40" s="272">
        <f>'Resumen C.P.'!X8</f>
        <v>0</v>
      </c>
      <c r="Y40" s="272"/>
      <c r="Z40" s="272"/>
      <c r="AA40" s="272"/>
      <c r="AB40" s="272"/>
      <c r="AC40" s="272"/>
      <c r="AD40" s="272">
        <f>'Resumen C.P.'!AD8</f>
        <v>0</v>
      </c>
      <c r="AE40" s="272"/>
      <c r="AF40" s="272"/>
      <c r="AG40" s="272"/>
      <c r="AH40" s="272"/>
      <c r="AI40" s="272"/>
      <c r="AJ40" s="272">
        <f>'Resumen C.P.'!AJ8:AO8</f>
        <v>0</v>
      </c>
      <c r="AK40" s="272"/>
      <c r="AL40" s="272"/>
      <c r="AM40" s="272"/>
      <c r="AN40" s="272"/>
      <c r="AO40" s="272"/>
      <c r="AP40" s="415">
        <f>'Resumen C.P.'!AV8</f>
        <v>0</v>
      </c>
      <c r="AQ40" s="415"/>
      <c r="AR40" s="415"/>
      <c r="AS40" s="415"/>
      <c r="AT40" s="415"/>
      <c r="AU40" s="415"/>
      <c r="AV40" s="417" t="str">
        <f>IF(C40&lt;&gt;"",'Resumen C.P.'!BK8,0)</f>
        <v/>
      </c>
      <c r="AW40" s="272"/>
      <c r="AX40" s="272"/>
      <c r="AY40" s="272"/>
      <c r="AZ40" s="272"/>
      <c r="BA40" s="272"/>
    </row>
    <row r="41" spans="1:53" ht="14.25" x14ac:dyDescent="0.25">
      <c r="A41" s="7"/>
      <c r="C41" s="221" t="str">
        <f>IF('Info General'!C27:E27&lt;&gt;"",'Info General'!C27:E27,"")</f>
        <v>HU-004</v>
      </c>
      <c r="D41" s="221"/>
      <c r="E41" s="221"/>
      <c r="F41" s="416">
        <f>'Resumen C.P.'!F9:H9</f>
        <v>0</v>
      </c>
      <c r="G41" s="416"/>
      <c r="H41" s="416"/>
      <c r="I41" s="416">
        <f>'Resumen C.P.'!I9:K9</f>
        <v>0</v>
      </c>
      <c r="J41" s="416"/>
      <c r="K41" s="416"/>
      <c r="L41" s="416">
        <f>'Resumen C.P.'!L9:N9</f>
        <v>0</v>
      </c>
      <c r="M41" s="416"/>
      <c r="N41" s="416"/>
      <c r="O41" s="416">
        <f>'Resumen C.P.'!O9:Q9</f>
        <v>0</v>
      </c>
      <c r="P41" s="416"/>
      <c r="Q41" s="416"/>
      <c r="R41" s="272">
        <f>'Resumen C.P.'!R9:T9</f>
        <v>0</v>
      </c>
      <c r="S41" s="272"/>
      <c r="T41" s="272"/>
      <c r="U41" s="272">
        <f>'Resumen C.P.'!U9:W9</f>
        <v>0</v>
      </c>
      <c r="V41" s="272"/>
      <c r="W41" s="272"/>
      <c r="X41" s="272">
        <f>'Resumen C.P.'!X9</f>
        <v>0</v>
      </c>
      <c r="Y41" s="272"/>
      <c r="Z41" s="272"/>
      <c r="AA41" s="272"/>
      <c r="AB41" s="272"/>
      <c r="AC41" s="272"/>
      <c r="AD41" s="272">
        <f>'Resumen C.P.'!AD9</f>
        <v>0</v>
      </c>
      <c r="AE41" s="272"/>
      <c r="AF41" s="272"/>
      <c r="AG41" s="272"/>
      <c r="AH41" s="272"/>
      <c r="AI41" s="272"/>
      <c r="AJ41" s="272">
        <f>'Resumen C.P.'!AJ9:AO9</f>
        <v>0</v>
      </c>
      <c r="AK41" s="272"/>
      <c r="AL41" s="272"/>
      <c r="AM41" s="272"/>
      <c r="AN41" s="272"/>
      <c r="AO41" s="272"/>
      <c r="AP41" s="415">
        <f>'Resumen C.P.'!AV9</f>
        <v>0</v>
      </c>
      <c r="AQ41" s="415"/>
      <c r="AR41" s="415"/>
      <c r="AS41" s="415"/>
      <c r="AT41" s="415"/>
      <c r="AU41" s="415"/>
      <c r="AV41" s="417" t="str">
        <f>IF(C41&lt;&gt;"",'Resumen C.P.'!BK9,0)</f>
        <v/>
      </c>
      <c r="AW41" s="272"/>
      <c r="AX41" s="272"/>
      <c r="AY41" s="272"/>
      <c r="AZ41" s="272"/>
      <c r="BA41" s="272"/>
    </row>
    <row r="42" spans="1:53" ht="3.75" customHeight="1" x14ac:dyDescent="0.2">
      <c r="A42" s="7" t="s">
        <v>161</v>
      </c>
      <c r="C42" s="379"/>
      <c r="D42" s="379"/>
      <c r="E42" s="379"/>
      <c r="F42" s="379"/>
      <c r="G42" s="379"/>
      <c r="H42" s="379"/>
      <c r="I42" s="379"/>
      <c r="J42" s="379"/>
      <c r="K42" s="379"/>
      <c r="L42" s="379"/>
      <c r="M42" s="379"/>
      <c r="N42" s="379"/>
      <c r="O42" s="379"/>
      <c r="P42" s="379"/>
      <c r="Q42" s="379"/>
      <c r="R42" s="379"/>
      <c r="S42" s="379"/>
      <c r="T42" s="379"/>
      <c r="U42" s="379"/>
      <c r="V42" s="379"/>
      <c r="W42" s="379"/>
      <c r="X42" s="379"/>
      <c r="Y42" s="379"/>
      <c r="Z42" s="379"/>
      <c r="AA42" s="379"/>
      <c r="AB42" s="379"/>
      <c r="AC42" s="379"/>
      <c r="AD42" s="379"/>
      <c r="AE42" s="379"/>
      <c r="AF42" s="379"/>
      <c r="AG42" s="379"/>
      <c r="AH42" s="379"/>
      <c r="AI42" s="379"/>
      <c r="AJ42" s="379"/>
      <c r="AK42" s="379"/>
      <c r="AL42" s="379"/>
      <c r="AM42" s="379"/>
      <c r="AN42" s="379"/>
      <c r="AO42" s="379"/>
      <c r="AP42" s="379"/>
      <c r="AQ42" s="379"/>
      <c r="AR42" s="379"/>
      <c r="AS42" s="379"/>
      <c r="AT42" s="379"/>
      <c r="AU42" s="379"/>
      <c r="AV42" s="379"/>
      <c r="AW42" s="379"/>
      <c r="AX42" s="379"/>
      <c r="AY42" s="379"/>
      <c r="AZ42" s="379"/>
      <c r="BA42" s="379"/>
    </row>
    <row r="43" spans="1:53" ht="14.25" x14ac:dyDescent="0.25">
      <c r="C43" s="221" t="s">
        <v>210</v>
      </c>
      <c r="D43" s="221"/>
      <c r="E43" s="221"/>
      <c r="F43" s="416">
        <f>SUM(F37:F42)</f>
        <v>9</v>
      </c>
      <c r="G43" s="416"/>
      <c r="H43" s="416"/>
      <c r="I43" s="416">
        <f>SUM(I37:I42)</f>
        <v>0</v>
      </c>
      <c r="J43" s="416"/>
      <c r="K43" s="416"/>
      <c r="L43" s="416">
        <f>SUM(L37:L42)</f>
        <v>9</v>
      </c>
      <c r="M43" s="416"/>
      <c r="N43" s="416"/>
      <c r="O43" s="416">
        <f>SUM(O37:O42)</f>
        <v>9</v>
      </c>
      <c r="P43" s="416"/>
      <c r="Q43" s="416"/>
      <c r="R43" s="416">
        <f>SUM(R37:R42)</f>
        <v>0</v>
      </c>
      <c r="S43" s="416"/>
      <c r="T43" s="416"/>
      <c r="U43" s="416">
        <f>SUM(U37:U42)</f>
        <v>9</v>
      </c>
      <c r="V43" s="416"/>
      <c r="W43" s="416"/>
      <c r="X43" s="272">
        <f>SUM(X37:X42)</f>
        <v>0</v>
      </c>
      <c r="Y43" s="272"/>
      <c r="Z43" s="272"/>
      <c r="AA43" s="272"/>
      <c r="AB43" s="272"/>
      <c r="AC43" s="272"/>
      <c r="AD43" s="272">
        <f>SUM(AD37:AD42)</f>
        <v>0</v>
      </c>
      <c r="AE43" s="272"/>
      <c r="AF43" s="272"/>
      <c r="AG43" s="272"/>
      <c r="AH43" s="272"/>
      <c r="AI43" s="272"/>
      <c r="AJ43" s="272">
        <f>SUM(AJ37:AJ42)</f>
        <v>0</v>
      </c>
      <c r="AK43" s="272"/>
      <c r="AL43" s="272"/>
      <c r="AM43" s="272"/>
      <c r="AN43" s="272"/>
      <c r="AO43" s="272"/>
      <c r="AP43" s="415">
        <f>AVERAGE(AP37:AP42)</f>
        <v>0.5</v>
      </c>
      <c r="AQ43" s="415"/>
      <c r="AR43" s="415"/>
      <c r="AS43" s="415"/>
      <c r="AT43" s="415"/>
      <c r="AU43" s="415"/>
      <c r="AV43" s="417">
        <f>IF(C38&lt;&gt;"",AVERAGE(AV37:AV42),0)</f>
        <v>0</v>
      </c>
      <c r="AW43" s="272"/>
      <c r="AX43" s="272"/>
      <c r="AY43" s="272"/>
      <c r="AZ43" s="272"/>
      <c r="BA43" s="272"/>
    </row>
    <row r="44" spans="1:53" ht="14.25" x14ac:dyDescent="0.25">
      <c r="C44" s="96"/>
      <c r="D44" s="96"/>
      <c r="E44" s="96"/>
      <c r="F44" s="97"/>
      <c r="G44" s="97"/>
      <c r="H44" s="97"/>
      <c r="I44" s="97"/>
      <c r="J44" s="97"/>
      <c r="K44" s="97"/>
      <c r="L44" s="97"/>
      <c r="M44" s="97"/>
      <c r="N44" s="97"/>
      <c r="O44" s="97"/>
      <c r="P44" s="97"/>
      <c r="Q44" s="97"/>
      <c r="R44" s="97"/>
      <c r="S44" s="97"/>
      <c r="T44" s="97"/>
      <c r="U44" s="97"/>
      <c r="V44" s="97"/>
      <c r="W44" s="97"/>
      <c r="X44" s="97"/>
      <c r="Y44" s="97"/>
      <c r="Z44" s="97"/>
      <c r="AA44" s="97"/>
      <c r="AB44" s="97"/>
      <c r="AC44" s="97"/>
      <c r="AD44" s="97"/>
      <c r="AE44" s="97"/>
      <c r="AF44" s="97"/>
      <c r="AG44" s="97"/>
      <c r="AH44" s="97"/>
      <c r="AI44" s="97"/>
      <c r="AJ44" s="97"/>
      <c r="AK44" s="97"/>
      <c r="AL44" s="97"/>
      <c r="AM44" s="97"/>
      <c r="AN44" s="97"/>
      <c r="AO44" s="98"/>
      <c r="AP44" s="98"/>
      <c r="AQ44" s="98"/>
      <c r="AR44" s="98"/>
      <c r="AS44" s="98"/>
      <c r="AT44" s="98"/>
      <c r="AU44" s="98"/>
      <c r="AV44" s="98"/>
      <c r="AW44" s="98"/>
      <c r="AX44" s="98"/>
      <c r="AY44" s="98"/>
      <c r="AZ44" s="98"/>
      <c r="BA44" s="98"/>
    </row>
    <row r="45" spans="1:53" ht="15" thickBot="1" x14ac:dyDescent="0.3">
      <c r="C45" s="242" t="s">
        <v>87</v>
      </c>
      <c r="D45" s="242"/>
      <c r="E45" s="242"/>
      <c r="F45" s="242"/>
      <c r="G45" s="242"/>
      <c r="H45" s="242"/>
      <c r="I45" s="242"/>
      <c r="J45" s="242"/>
      <c r="K45" s="242"/>
      <c r="L45" s="242"/>
      <c r="M45" s="242"/>
      <c r="N45" s="242"/>
      <c r="O45" s="242"/>
      <c r="P45" s="242"/>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row>
    <row r="46" spans="1:53" ht="14.25" x14ac:dyDescent="0.2">
      <c r="C46" s="238"/>
      <c r="D46" s="238"/>
      <c r="E46" s="238"/>
      <c r="F46" s="238"/>
      <c r="G46" s="238"/>
      <c r="H46" s="238"/>
      <c r="I46" s="238"/>
      <c r="J46" s="238"/>
      <c r="K46" s="238"/>
      <c r="L46" s="238"/>
      <c r="M46" s="238"/>
      <c r="N46" s="238"/>
      <c r="O46" s="238"/>
      <c r="P46" s="238"/>
      <c r="Q46" s="238"/>
      <c r="R46" s="238"/>
      <c r="S46" s="238"/>
      <c r="T46" s="238"/>
      <c r="U46" s="238"/>
      <c r="V46" s="238"/>
      <c r="W46" s="238"/>
      <c r="X46" s="238"/>
      <c r="Y46" s="238"/>
      <c r="Z46" s="238"/>
      <c r="AA46" s="238"/>
      <c r="AB46" s="238"/>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row>
    <row r="47" spans="1:53" ht="14.25" x14ac:dyDescent="0.2">
      <c r="C47" s="172" t="s">
        <v>26</v>
      </c>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c r="AB47" s="172"/>
      <c r="AC47" s="172"/>
      <c r="AD47" s="172"/>
      <c r="AE47" s="172"/>
      <c r="AF47" s="172"/>
      <c r="AG47" s="172"/>
      <c r="AH47" s="172"/>
      <c r="AI47" s="172"/>
      <c r="AJ47" s="172"/>
      <c r="AK47" s="172"/>
      <c r="AL47" s="172"/>
      <c r="AM47" s="172"/>
      <c r="AN47" s="172"/>
      <c r="AO47" s="172"/>
      <c r="AP47" s="172"/>
      <c r="AQ47" s="172"/>
      <c r="AR47" s="172"/>
      <c r="AS47" s="172"/>
      <c r="AT47" s="172"/>
      <c r="AU47" s="172"/>
      <c r="AV47" s="172"/>
      <c r="AW47" s="172"/>
      <c r="AX47" s="172"/>
      <c r="AY47" s="172"/>
      <c r="AZ47" s="172"/>
      <c r="BA47" s="172"/>
    </row>
    <row r="48" spans="1:53" ht="14.25" x14ac:dyDescent="0.25">
      <c r="C48" s="158" t="s">
        <v>88</v>
      </c>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158"/>
      <c r="AB48" s="158"/>
      <c r="AC48" s="220" t="s">
        <v>69</v>
      </c>
      <c r="AD48" s="220"/>
      <c r="AE48" s="220"/>
      <c r="AF48" s="220"/>
      <c r="AG48" s="220"/>
      <c r="AH48" s="220"/>
      <c r="AI48" s="220"/>
      <c r="AJ48" s="220"/>
      <c r="AK48" s="220"/>
      <c r="AL48" s="220"/>
      <c r="AM48" s="220"/>
      <c r="AN48" s="220"/>
      <c r="AO48" s="220"/>
      <c r="AP48" s="220"/>
      <c r="AQ48" s="220"/>
      <c r="AR48" s="220"/>
      <c r="AS48" s="220"/>
      <c r="AT48" s="220"/>
      <c r="AU48" s="220"/>
      <c r="AV48" s="220"/>
      <c r="AW48" s="220"/>
      <c r="AX48" s="220"/>
      <c r="AY48" s="220"/>
      <c r="AZ48" s="220"/>
      <c r="BA48" s="220"/>
    </row>
    <row r="49" spans="3:53" ht="14.25" x14ac:dyDescent="0.2">
      <c r="C49" s="221" t="s">
        <v>88</v>
      </c>
      <c r="D49" s="221"/>
      <c r="E49" s="221"/>
      <c r="F49" s="221" t="s">
        <v>206</v>
      </c>
      <c r="G49" s="221"/>
      <c r="H49" s="221"/>
      <c r="I49" s="221" t="s">
        <v>208</v>
      </c>
      <c r="J49" s="221"/>
      <c r="K49" s="221"/>
      <c r="L49" s="221"/>
      <c r="M49" s="221"/>
      <c r="N49" s="221"/>
      <c r="O49" s="221"/>
      <c r="P49" s="221"/>
      <c r="Q49" s="221"/>
      <c r="R49" s="221"/>
      <c r="S49" s="221" t="s">
        <v>209</v>
      </c>
      <c r="T49" s="221"/>
      <c r="U49" s="221"/>
      <c r="V49" s="221"/>
      <c r="W49" s="221"/>
      <c r="X49" s="221"/>
      <c r="Y49" s="221"/>
      <c r="Z49" s="221"/>
      <c r="AA49" s="221"/>
      <c r="AB49" s="221"/>
      <c r="AC49" s="221" t="s">
        <v>69</v>
      </c>
      <c r="AD49" s="221"/>
      <c r="AE49" s="221"/>
      <c r="AF49" s="221"/>
      <c r="AG49" s="221"/>
      <c r="AH49" s="221" t="s">
        <v>206</v>
      </c>
      <c r="AI49" s="221"/>
      <c r="AJ49" s="221"/>
      <c r="AK49" s="221"/>
      <c r="AL49" s="221"/>
      <c r="AM49" s="221" t="s">
        <v>212</v>
      </c>
      <c r="AN49" s="221"/>
      <c r="AO49" s="221"/>
      <c r="AP49" s="221"/>
      <c r="AQ49" s="221"/>
      <c r="AR49" s="221"/>
      <c r="AS49" s="221"/>
      <c r="AT49" s="221"/>
      <c r="AU49" s="221"/>
      <c r="AV49" s="221"/>
      <c r="AW49" s="221"/>
      <c r="AX49" s="221"/>
      <c r="AY49" s="221"/>
      <c r="AZ49" s="221"/>
      <c r="BA49" s="221"/>
    </row>
    <row r="50" spans="3:53" ht="12.75" customHeight="1" x14ac:dyDescent="0.2">
      <c r="C50" s="427" t="s">
        <v>89</v>
      </c>
      <c r="D50" s="427"/>
      <c r="E50" s="427"/>
      <c r="F50" s="416">
        <f>Incidentes!F11</f>
        <v>0</v>
      </c>
      <c r="G50" s="416"/>
      <c r="H50" s="416"/>
      <c r="I50" s="438">
        <f>IF(F50&lt;&gt;0,'Resumen C.P.'!BK11,0)</f>
        <v>0</v>
      </c>
      <c r="J50" s="438"/>
      <c r="K50" s="438"/>
      <c r="L50" s="438"/>
      <c r="M50" s="438"/>
      <c r="N50" s="438"/>
      <c r="O50" s="438"/>
      <c r="P50" s="438"/>
      <c r="Q50" s="438"/>
      <c r="R50" s="438"/>
      <c r="S50" s="438">
        <f>IF(F52&gt;0,F53/F52,0)</f>
        <v>0</v>
      </c>
      <c r="T50" s="438"/>
      <c r="U50" s="438"/>
      <c r="V50" s="438"/>
      <c r="W50" s="438"/>
      <c r="X50" s="438"/>
      <c r="Y50" s="438"/>
      <c r="Z50" s="438"/>
      <c r="AA50" s="438"/>
      <c r="AB50" s="438"/>
      <c r="AC50" s="427" t="s">
        <v>99</v>
      </c>
      <c r="AD50" s="427"/>
      <c r="AE50" s="427"/>
      <c r="AF50" s="427"/>
      <c r="AG50" s="427"/>
      <c r="AH50" s="99" t="e">
        <f>AI50/AH54</f>
        <v>#DIV/0!</v>
      </c>
      <c r="AI50" s="430">
        <f>Incidentes!AP11</f>
        <v>0</v>
      </c>
      <c r="AJ50" s="430"/>
      <c r="AK50" s="430"/>
      <c r="AL50" s="431"/>
      <c r="AM50" s="431"/>
      <c r="AN50" s="416"/>
      <c r="AO50" s="416"/>
      <c r="AP50" s="416"/>
      <c r="AQ50" s="416"/>
      <c r="AR50" s="416"/>
      <c r="AS50" s="416"/>
      <c r="AT50" s="416"/>
      <c r="AU50" s="416"/>
      <c r="AV50" s="416"/>
      <c r="AW50" s="416"/>
      <c r="AX50" s="416"/>
      <c r="AY50" s="416"/>
      <c r="AZ50" s="416"/>
      <c r="BA50" s="416"/>
    </row>
    <row r="51" spans="3:53" ht="12.75" customHeight="1" x14ac:dyDescent="0.2">
      <c r="C51" s="427" t="s">
        <v>205</v>
      </c>
      <c r="D51" s="427"/>
      <c r="E51" s="427"/>
      <c r="F51" s="416">
        <f>Incidentes!J11</f>
        <v>0</v>
      </c>
      <c r="G51" s="416"/>
      <c r="H51" s="416"/>
      <c r="I51" s="438"/>
      <c r="J51" s="438"/>
      <c r="K51" s="438"/>
      <c r="L51" s="438"/>
      <c r="M51" s="438"/>
      <c r="N51" s="438"/>
      <c r="O51" s="438"/>
      <c r="P51" s="438"/>
      <c r="Q51" s="438"/>
      <c r="R51" s="438"/>
      <c r="S51" s="438"/>
      <c r="T51" s="438"/>
      <c r="U51" s="438"/>
      <c r="V51" s="438"/>
      <c r="W51" s="438"/>
      <c r="X51" s="438"/>
      <c r="Y51" s="438"/>
      <c r="Z51" s="438"/>
      <c r="AA51" s="438"/>
      <c r="AB51" s="438"/>
      <c r="AC51" s="427" t="s">
        <v>100</v>
      </c>
      <c r="AD51" s="427"/>
      <c r="AE51" s="427"/>
      <c r="AF51" s="427"/>
      <c r="AG51" s="427"/>
      <c r="AH51" s="100" t="e">
        <f>AI51/AH54</f>
        <v>#DIV/0!</v>
      </c>
      <c r="AI51" s="430">
        <f>Incidentes!AT11</f>
        <v>0</v>
      </c>
      <c r="AJ51" s="430"/>
      <c r="AK51" s="430"/>
      <c r="AL51" s="431"/>
      <c r="AM51" s="431"/>
      <c r="AN51" s="416"/>
      <c r="AO51" s="416"/>
      <c r="AP51" s="416"/>
      <c r="AQ51" s="416"/>
      <c r="AR51" s="416"/>
      <c r="AS51" s="416"/>
      <c r="AT51" s="416"/>
      <c r="AU51" s="416"/>
      <c r="AV51" s="416"/>
      <c r="AW51" s="416"/>
      <c r="AX51" s="416"/>
      <c r="AY51" s="416"/>
      <c r="AZ51" s="416"/>
      <c r="BA51" s="416"/>
    </row>
    <row r="52" spans="3:53" ht="12.75" customHeight="1" x14ac:dyDescent="0.2">
      <c r="C52" s="427" t="s">
        <v>91</v>
      </c>
      <c r="D52" s="427"/>
      <c r="E52" s="427"/>
      <c r="F52" s="416">
        <f>Incidentes!N11</f>
        <v>0</v>
      </c>
      <c r="G52" s="416"/>
      <c r="H52" s="416"/>
      <c r="I52" s="438"/>
      <c r="J52" s="438"/>
      <c r="K52" s="438"/>
      <c r="L52" s="438"/>
      <c r="M52" s="438"/>
      <c r="N52" s="438"/>
      <c r="O52" s="438"/>
      <c r="P52" s="438"/>
      <c r="Q52" s="438"/>
      <c r="R52" s="438"/>
      <c r="S52" s="438"/>
      <c r="T52" s="438"/>
      <c r="U52" s="438"/>
      <c r="V52" s="438"/>
      <c r="W52" s="438"/>
      <c r="X52" s="438"/>
      <c r="Y52" s="438"/>
      <c r="Z52" s="438"/>
      <c r="AA52" s="438"/>
      <c r="AB52" s="438"/>
      <c r="AC52" s="427" t="s">
        <v>101</v>
      </c>
      <c r="AD52" s="427"/>
      <c r="AE52" s="427"/>
      <c r="AF52" s="427"/>
      <c r="AG52" s="427"/>
      <c r="AH52" s="100" t="e">
        <f>AI52/AH54</f>
        <v>#DIV/0!</v>
      </c>
      <c r="AI52" s="430">
        <f>Incidentes!AX11</f>
        <v>0</v>
      </c>
      <c r="AJ52" s="430"/>
      <c r="AK52" s="430"/>
      <c r="AL52" s="431"/>
      <c r="AM52" s="431"/>
      <c r="AN52" s="416"/>
      <c r="AO52" s="416"/>
      <c r="AP52" s="416"/>
      <c r="AQ52" s="416"/>
      <c r="AR52" s="416"/>
      <c r="AS52" s="416"/>
      <c r="AT52" s="416"/>
      <c r="AU52" s="416"/>
      <c r="AV52" s="416"/>
      <c r="AW52" s="416"/>
      <c r="AX52" s="416"/>
      <c r="AY52" s="416"/>
      <c r="AZ52" s="416"/>
      <c r="BA52" s="416"/>
    </row>
    <row r="53" spans="3:53" ht="12.75" customHeight="1" x14ac:dyDescent="0.2">
      <c r="C53" s="427" t="s">
        <v>211</v>
      </c>
      <c r="D53" s="427"/>
      <c r="E53" s="427"/>
      <c r="F53" s="416">
        <f>Incidentes!R11</f>
        <v>0</v>
      </c>
      <c r="G53" s="416"/>
      <c r="H53" s="416"/>
      <c r="I53" s="438"/>
      <c r="J53" s="438"/>
      <c r="K53" s="438"/>
      <c r="L53" s="438"/>
      <c r="M53" s="438"/>
      <c r="N53" s="438"/>
      <c r="O53" s="438"/>
      <c r="P53" s="438"/>
      <c r="Q53" s="438"/>
      <c r="R53" s="438"/>
      <c r="S53" s="438"/>
      <c r="T53" s="438"/>
      <c r="U53" s="438"/>
      <c r="V53" s="438"/>
      <c r="W53" s="438"/>
      <c r="X53" s="438"/>
      <c r="Y53" s="438"/>
      <c r="Z53" s="438"/>
      <c r="AA53" s="438"/>
      <c r="AB53" s="438"/>
      <c r="AC53" s="427" t="s">
        <v>2</v>
      </c>
      <c r="AD53" s="427"/>
      <c r="AE53" s="427"/>
      <c r="AF53" s="427"/>
      <c r="AG53" s="427"/>
      <c r="AH53" s="100" t="e">
        <f>AI53/AH54</f>
        <v>#DIV/0!</v>
      </c>
      <c r="AI53" s="430">
        <f>Incidentes!BB11</f>
        <v>0</v>
      </c>
      <c r="AJ53" s="430"/>
      <c r="AK53" s="430"/>
      <c r="AL53" s="431"/>
      <c r="AM53" s="431"/>
      <c r="AN53" s="416"/>
      <c r="AO53" s="416"/>
      <c r="AP53" s="416"/>
      <c r="AQ53" s="416"/>
      <c r="AR53" s="416"/>
      <c r="AS53" s="416"/>
      <c r="AT53" s="416"/>
      <c r="AU53" s="416"/>
      <c r="AV53" s="416"/>
      <c r="AW53" s="416"/>
      <c r="AX53" s="416"/>
      <c r="AY53" s="416"/>
      <c r="AZ53" s="416"/>
      <c r="BA53" s="416"/>
    </row>
    <row r="54" spans="3:53" ht="12.75" customHeight="1" x14ac:dyDescent="0.2">
      <c r="C54" s="427" t="s">
        <v>93</v>
      </c>
      <c r="D54" s="427"/>
      <c r="E54" s="427"/>
      <c r="F54" s="416">
        <f>Incidentes!V11</f>
        <v>0</v>
      </c>
      <c r="G54" s="416"/>
      <c r="H54" s="416"/>
      <c r="I54" s="438"/>
      <c r="J54" s="438"/>
      <c r="K54" s="438"/>
      <c r="L54" s="438"/>
      <c r="M54" s="438"/>
      <c r="N54" s="438"/>
      <c r="O54" s="438"/>
      <c r="P54" s="438"/>
      <c r="Q54" s="438"/>
      <c r="R54" s="438"/>
      <c r="S54" s="438"/>
      <c r="T54" s="438"/>
      <c r="U54" s="438"/>
      <c r="V54" s="438"/>
      <c r="W54" s="438"/>
      <c r="X54" s="438"/>
      <c r="Y54" s="438"/>
      <c r="Z54" s="438"/>
      <c r="AA54" s="438"/>
      <c r="AB54" s="438"/>
      <c r="AC54" s="427" t="s">
        <v>213</v>
      </c>
      <c r="AD54" s="427"/>
      <c r="AE54" s="427"/>
      <c r="AF54" s="427"/>
      <c r="AG54" s="427"/>
      <c r="AH54" s="416">
        <f>SUM(AI50:AL53)</f>
        <v>0</v>
      </c>
      <c r="AI54" s="429"/>
      <c r="AJ54" s="429"/>
      <c r="AK54" s="429"/>
      <c r="AL54" s="429"/>
      <c r="AM54" s="416"/>
      <c r="AN54" s="416"/>
      <c r="AO54" s="416"/>
      <c r="AP54" s="416"/>
      <c r="AQ54" s="416"/>
      <c r="AR54" s="416"/>
      <c r="AS54" s="416"/>
      <c r="AT54" s="416"/>
      <c r="AU54" s="416"/>
      <c r="AV54" s="416"/>
      <c r="AW54" s="416"/>
      <c r="AX54" s="416"/>
      <c r="AY54" s="416"/>
      <c r="AZ54" s="416"/>
      <c r="BA54" s="416"/>
    </row>
    <row r="55" spans="3:53" ht="14.25" x14ac:dyDescent="0.2">
      <c r="C55" s="380"/>
      <c r="D55" s="380"/>
      <c r="E55" s="380"/>
      <c r="F55" s="380"/>
      <c r="G55" s="380"/>
      <c r="H55" s="380"/>
      <c r="I55" s="380"/>
      <c r="J55" s="380"/>
      <c r="K55" s="380"/>
      <c r="L55" s="380"/>
      <c r="M55" s="380"/>
      <c r="N55" s="380"/>
      <c r="O55" s="380"/>
      <c r="P55" s="380"/>
      <c r="Q55" s="380"/>
      <c r="R55" s="380"/>
      <c r="S55" s="380"/>
      <c r="T55" s="380"/>
      <c r="U55" s="380"/>
      <c r="V55" s="380"/>
      <c r="W55" s="380"/>
      <c r="X55" s="380"/>
      <c r="Y55" s="380"/>
      <c r="Z55" s="380"/>
      <c r="AA55" s="380"/>
      <c r="AB55" s="380"/>
      <c r="AC55" s="380"/>
      <c r="AD55" s="380"/>
      <c r="AE55" s="380"/>
      <c r="AF55" s="380"/>
      <c r="AG55" s="380"/>
      <c r="AH55" s="380"/>
      <c r="AI55" s="380"/>
      <c r="AJ55" s="380"/>
      <c r="AK55" s="380"/>
      <c r="AL55" s="380"/>
      <c r="AM55" s="416"/>
      <c r="AN55" s="416"/>
      <c r="AO55" s="416"/>
      <c r="AP55" s="416"/>
      <c r="AQ55" s="416"/>
      <c r="AR55" s="416"/>
      <c r="AS55" s="416"/>
      <c r="AT55" s="416"/>
      <c r="AU55" s="416"/>
      <c r="AV55" s="416"/>
      <c r="AW55" s="416"/>
      <c r="AX55" s="416"/>
      <c r="AY55" s="416"/>
      <c r="AZ55" s="416"/>
      <c r="BA55" s="416"/>
    </row>
    <row r="56" spans="3:53" ht="14.25" x14ac:dyDescent="0.25">
      <c r="C56" s="158" t="s">
        <v>94</v>
      </c>
      <c r="D56" s="158"/>
      <c r="E56" s="158"/>
      <c r="F56" s="158"/>
      <c r="G56" s="158"/>
      <c r="H56" s="158"/>
      <c r="I56" s="158"/>
      <c r="J56" s="158"/>
      <c r="K56" s="158"/>
      <c r="L56" s="158"/>
      <c r="M56" s="158"/>
      <c r="N56" s="158"/>
      <c r="O56" s="158"/>
      <c r="P56" s="158"/>
      <c r="Q56" s="158"/>
      <c r="R56" s="158"/>
      <c r="S56" s="158"/>
      <c r="T56" s="158"/>
      <c r="U56" s="158"/>
      <c r="V56" s="158"/>
      <c r="W56" s="158"/>
      <c r="X56" s="158"/>
      <c r="Y56" s="158"/>
      <c r="Z56" s="158"/>
      <c r="AA56" s="158"/>
      <c r="AB56" s="158"/>
      <c r="AC56" s="158" t="s">
        <v>95</v>
      </c>
      <c r="AD56" s="158"/>
      <c r="AE56" s="158"/>
      <c r="AF56" s="158"/>
      <c r="AG56" s="158"/>
      <c r="AH56" s="158"/>
      <c r="AI56" s="158"/>
      <c r="AJ56" s="158"/>
      <c r="AK56" s="158"/>
      <c r="AL56" s="158"/>
      <c r="AM56" s="158"/>
      <c r="AN56" s="158"/>
      <c r="AO56" s="158"/>
      <c r="AP56" s="158"/>
      <c r="AQ56" s="158"/>
      <c r="AR56" s="158"/>
      <c r="AS56" s="158"/>
      <c r="AT56" s="158"/>
      <c r="AU56" s="158"/>
      <c r="AV56" s="158"/>
      <c r="AW56" s="158"/>
      <c r="AX56" s="158"/>
      <c r="AY56" s="158"/>
      <c r="AZ56" s="158"/>
      <c r="BA56" s="158"/>
    </row>
    <row r="57" spans="3:53" ht="14.25" x14ac:dyDescent="0.2">
      <c r="C57" s="221" t="s">
        <v>94</v>
      </c>
      <c r="D57" s="221"/>
      <c r="E57" s="221"/>
      <c r="F57" s="221"/>
      <c r="G57" s="221"/>
      <c r="H57" s="426" t="s">
        <v>206</v>
      </c>
      <c r="I57" s="426"/>
      <c r="J57" s="426"/>
      <c r="K57" s="426"/>
      <c r="L57" s="426"/>
      <c r="M57" s="221" t="s">
        <v>214</v>
      </c>
      <c r="N57" s="221"/>
      <c r="O57" s="221"/>
      <c r="P57" s="221"/>
      <c r="Q57" s="221"/>
      <c r="R57" s="221"/>
      <c r="S57" s="221"/>
      <c r="T57" s="221"/>
      <c r="U57" s="221"/>
      <c r="V57" s="221"/>
      <c r="W57" s="221"/>
      <c r="X57" s="221"/>
      <c r="Y57" s="221"/>
      <c r="Z57" s="221"/>
      <c r="AA57" s="221"/>
      <c r="AB57" s="221"/>
      <c r="AC57" s="221" t="s">
        <v>95</v>
      </c>
      <c r="AD57" s="221"/>
      <c r="AE57" s="221"/>
      <c r="AF57" s="221"/>
      <c r="AG57" s="221"/>
      <c r="AH57" s="426" t="s">
        <v>206</v>
      </c>
      <c r="AI57" s="426"/>
      <c r="AJ57" s="426"/>
      <c r="AK57" s="426"/>
      <c r="AL57" s="426"/>
      <c r="AM57" s="221" t="s">
        <v>214</v>
      </c>
      <c r="AN57" s="221"/>
      <c r="AO57" s="221"/>
      <c r="AP57" s="221"/>
      <c r="AQ57" s="221"/>
      <c r="AR57" s="221"/>
      <c r="AS57" s="221"/>
      <c r="AT57" s="221"/>
      <c r="AU57" s="221"/>
      <c r="AV57" s="221"/>
      <c r="AW57" s="221"/>
      <c r="AX57" s="221"/>
      <c r="AY57" s="221"/>
      <c r="AZ57" s="221"/>
      <c r="BA57" s="221"/>
    </row>
    <row r="58" spans="3:53" ht="14.25" x14ac:dyDescent="0.2">
      <c r="C58" s="427" t="s">
        <v>215</v>
      </c>
      <c r="D58" s="427"/>
      <c r="E58" s="427"/>
      <c r="F58" s="427"/>
      <c r="G58" s="428"/>
      <c r="H58" s="100" t="e">
        <f>I58/H61</f>
        <v>#DIV/0!</v>
      </c>
      <c r="I58" s="430">
        <f>Incidentes!AB11</f>
        <v>0</v>
      </c>
      <c r="J58" s="430"/>
      <c r="K58" s="430"/>
      <c r="L58" s="431"/>
      <c r="M58" s="431"/>
      <c r="N58" s="416"/>
      <c r="O58" s="416"/>
      <c r="P58" s="416"/>
      <c r="Q58" s="416"/>
      <c r="R58" s="416"/>
      <c r="S58" s="416"/>
      <c r="T58" s="416"/>
      <c r="U58" s="416"/>
      <c r="V58" s="416"/>
      <c r="W58" s="416"/>
      <c r="X58" s="416"/>
      <c r="Y58" s="416"/>
      <c r="Z58" s="416"/>
      <c r="AA58" s="416"/>
      <c r="AB58" s="416"/>
      <c r="AC58" s="427" t="s">
        <v>103</v>
      </c>
      <c r="AD58" s="427"/>
      <c r="AE58" s="427"/>
      <c r="AF58" s="427"/>
      <c r="AG58" s="428"/>
      <c r="AH58" s="100" t="e">
        <f>AI58/AH62</f>
        <v>#DIV/0!</v>
      </c>
      <c r="AI58" s="430">
        <f>Incidentes!BH11</f>
        <v>0</v>
      </c>
      <c r="AJ58" s="430"/>
      <c r="AK58" s="430"/>
      <c r="AL58" s="431"/>
      <c r="AM58" s="431"/>
      <c r="AN58" s="416"/>
      <c r="AO58" s="416"/>
      <c r="AP58" s="416"/>
      <c r="AQ58" s="416"/>
      <c r="AR58" s="416"/>
      <c r="AS58" s="416"/>
      <c r="AT58" s="416"/>
      <c r="AU58" s="416"/>
      <c r="AV58" s="416"/>
      <c r="AW58" s="416"/>
      <c r="AX58" s="416"/>
      <c r="AY58" s="416"/>
      <c r="AZ58" s="416"/>
      <c r="BA58" s="416"/>
    </row>
    <row r="59" spans="3:53" ht="14.25" x14ac:dyDescent="0.2">
      <c r="C59" s="427" t="s">
        <v>216</v>
      </c>
      <c r="D59" s="427"/>
      <c r="E59" s="427"/>
      <c r="F59" s="427"/>
      <c r="G59" s="428"/>
      <c r="H59" s="100" t="e">
        <f>I59/H61</f>
        <v>#DIV/0!</v>
      </c>
      <c r="I59" s="430">
        <f>Incidentes!AF11</f>
        <v>0</v>
      </c>
      <c r="J59" s="430"/>
      <c r="K59" s="430"/>
      <c r="L59" s="431"/>
      <c r="M59" s="431"/>
      <c r="N59" s="416"/>
      <c r="O59" s="416"/>
      <c r="P59" s="416"/>
      <c r="Q59" s="416"/>
      <c r="R59" s="416"/>
      <c r="S59" s="416"/>
      <c r="T59" s="416"/>
      <c r="U59" s="416"/>
      <c r="V59" s="416"/>
      <c r="W59" s="416"/>
      <c r="X59" s="416"/>
      <c r="Y59" s="416"/>
      <c r="Z59" s="416"/>
      <c r="AA59" s="416"/>
      <c r="AB59" s="416"/>
      <c r="AC59" s="427" t="s">
        <v>217</v>
      </c>
      <c r="AD59" s="427"/>
      <c r="AE59" s="427"/>
      <c r="AF59" s="427"/>
      <c r="AG59" s="428"/>
      <c r="AH59" s="101" t="e">
        <f>AI59/AH62</f>
        <v>#DIV/0!</v>
      </c>
      <c r="AI59" s="238">
        <f>Incidentes!BL11</f>
        <v>0</v>
      </c>
      <c r="AJ59" s="238"/>
      <c r="AK59" s="238"/>
      <c r="AL59" s="268"/>
      <c r="AM59" s="431"/>
      <c r="AN59" s="416"/>
      <c r="AO59" s="416"/>
      <c r="AP59" s="416"/>
      <c r="AQ59" s="416"/>
      <c r="AR59" s="416"/>
      <c r="AS59" s="416"/>
      <c r="AT59" s="416"/>
      <c r="AU59" s="416"/>
      <c r="AV59" s="416"/>
      <c r="AW59" s="416"/>
      <c r="AX59" s="416"/>
      <c r="AY59" s="416"/>
      <c r="AZ59" s="416"/>
      <c r="BA59" s="416"/>
    </row>
    <row r="60" spans="3:53" ht="14.25" x14ac:dyDescent="0.2">
      <c r="C60" s="427" t="s">
        <v>98</v>
      </c>
      <c r="D60" s="427"/>
      <c r="E60" s="427"/>
      <c r="F60" s="427"/>
      <c r="G60" s="428"/>
      <c r="H60" s="100" t="e">
        <f>I60/H61</f>
        <v>#DIV/0!</v>
      </c>
      <c r="I60" s="430">
        <f>Incidentes!AJ11</f>
        <v>0</v>
      </c>
      <c r="J60" s="430"/>
      <c r="K60" s="430"/>
      <c r="L60" s="431"/>
      <c r="M60" s="431"/>
      <c r="N60" s="416"/>
      <c r="O60" s="416"/>
      <c r="P60" s="416"/>
      <c r="Q60" s="416"/>
      <c r="R60" s="416"/>
      <c r="S60" s="416"/>
      <c r="T60" s="416"/>
      <c r="U60" s="416"/>
      <c r="V60" s="416"/>
      <c r="W60" s="416"/>
      <c r="X60" s="416"/>
      <c r="Y60" s="416"/>
      <c r="Z60" s="416"/>
      <c r="AA60" s="416"/>
      <c r="AB60" s="416"/>
      <c r="AC60" s="427" t="s">
        <v>105</v>
      </c>
      <c r="AD60" s="427"/>
      <c r="AE60" s="427"/>
      <c r="AF60" s="427"/>
      <c r="AG60" s="428"/>
      <c r="AH60" s="100" t="e">
        <f>AI60/AH62</f>
        <v>#DIV/0!</v>
      </c>
      <c r="AI60" s="430">
        <f>Incidentes!BP11</f>
        <v>0</v>
      </c>
      <c r="AJ60" s="430"/>
      <c r="AK60" s="430"/>
      <c r="AL60" s="431"/>
      <c r="AM60" s="431"/>
      <c r="AN60" s="416"/>
      <c r="AO60" s="416"/>
      <c r="AP60" s="416"/>
      <c r="AQ60" s="416"/>
      <c r="AR60" s="416"/>
      <c r="AS60" s="416"/>
      <c r="AT60" s="416"/>
      <c r="AU60" s="416"/>
      <c r="AV60" s="416"/>
      <c r="AW60" s="416"/>
      <c r="AX60" s="416"/>
      <c r="AY60" s="416"/>
      <c r="AZ60" s="416"/>
      <c r="BA60" s="416"/>
    </row>
    <row r="61" spans="3:53" ht="14.25" x14ac:dyDescent="0.2">
      <c r="C61" s="427" t="s">
        <v>213</v>
      </c>
      <c r="D61" s="427"/>
      <c r="E61" s="427"/>
      <c r="F61" s="427"/>
      <c r="G61" s="427"/>
      <c r="H61" s="429">
        <f>SUM(I58:L60)</f>
        <v>0</v>
      </c>
      <c r="I61" s="429"/>
      <c r="J61" s="429"/>
      <c r="K61" s="429"/>
      <c r="L61" s="429"/>
      <c r="M61" s="416"/>
      <c r="N61" s="416"/>
      <c r="O61" s="416"/>
      <c r="P61" s="416"/>
      <c r="Q61" s="416"/>
      <c r="R61" s="416"/>
      <c r="S61" s="416"/>
      <c r="T61" s="416"/>
      <c r="U61" s="416"/>
      <c r="V61" s="416"/>
      <c r="W61" s="416"/>
      <c r="X61" s="416"/>
      <c r="Y61" s="416"/>
      <c r="Z61" s="416"/>
      <c r="AA61" s="416"/>
      <c r="AB61" s="416"/>
      <c r="AC61" s="427" t="s">
        <v>106</v>
      </c>
      <c r="AD61" s="427"/>
      <c r="AE61" s="427"/>
      <c r="AF61" s="427"/>
      <c r="AG61" s="428"/>
      <c r="AH61" s="99" t="e">
        <f>AI61/AH62</f>
        <v>#DIV/0!</v>
      </c>
      <c r="AI61" s="270">
        <f>Incidentes!BT11</f>
        <v>0</v>
      </c>
      <c r="AJ61" s="270"/>
      <c r="AK61" s="270"/>
      <c r="AL61" s="271"/>
      <c r="AM61" s="431"/>
      <c r="AN61" s="416"/>
      <c r="AO61" s="416"/>
      <c r="AP61" s="416"/>
      <c r="AQ61" s="416"/>
      <c r="AR61" s="416"/>
      <c r="AS61" s="416"/>
      <c r="AT61" s="416"/>
      <c r="AU61" s="416"/>
      <c r="AV61" s="416"/>
      <c r="AW61" s="416"/>
      <c r="AX61" s="416"/>
      <c r="AY61" s="416"/>
      <c r="AZ61" s="416"/>
      <c r="BA61" s="416"/>
    </row>
    <row r="62" spans="3:53" ht="14.25" x14ac:dyDescent="0.2">
      <c r="C62" s="380"/>
      <c r="D62" s="380"/>
      <c r="E62" s="380"/>
      <c r="F62" s="380"/>
      <c r="G62" s="380"/>
      <c r="H62" s="380"/>
      <c r="I62" s="380"/>
      <c r="J62" s="380"/>
      <c r="K62" s="380"/>
      <c r="L62" s="380"/>
      <c r="M62" s="416"/>
      <c r="N62" s="416"/>
      <c r="O62" s="416"/>
      <c r="P62" s="416"/>
      <c r="Q62" s="416"/>
      <c r="R62" s="416"/>
      <c r="S62" s="416"/>
      <c r="T62" s="416"/>
      <c r="U62" s="416"/>
      <c r="V62" s="416"/>
      <c r="W62" s="416"/>
      <c r="X62" s="416"/>
      <c r="Y62" s="416"/>
      <c r="Z62" s="416"/>
      <c r="AA62" s="416"/>
      <c r="AB62" s="416"/>
      <c r="AC62" s="427" t="s">
        <v>213</v>
      </c>
      <c r="AD62" s="427"/>
      <c r="AE62" s="427"/>
      <c r="AF62" s="427"/>
      <c r="AG62" s="427"/>
      <c r="AH62" s="429">
        <f>SUM(AI58:AL61)</f>
        <v>0</v>
      </c>
      <c r="AI62" s="429"/>
      <c r="AJ62" s="429"/>
      <c r="AK62" s="429"/>
      <c r="AL62" s="429"/>
      <c r="AM62" s="416"/>
      <c r="AN62" s="416"/>
      <c r="AO62" s="416"/>
      <c r="AP62" s="416"/>
      <c r="AQ62" s="416"/>
      <c r="AR62" s="416"/>
      <c r="AS62" s="416"/>
      <c r="AT62" s="416"/>
      <c r="AU62" s="416"/>
      <c r="AV62" s="416"/>
      <c r="AW62" s="416"/>
      <c r="AX62" s="416"/>
      <c r="AY62" s="416"/>
      <c r="AZ62" s="416"/>
      <c r="BA62" s="416"/>
    </row>
    <row r="63" spans="3:53" ht="14.25" x14ac:dyDescent="0.2">
      <c r="C63" s="380"/>
      <c r="D63" s="380"/>
      <c r="E63" s="380"/>
      <c r="F63" s="380"/>
      <c r="G63" s="380"/>
      <c r="H63" s="380"/>
      <c r="I63" s="380"/>
      <c r="J63" s="380"/>
      <c r="K63" s="380"/>
      <c r="L63" s="380"/>
      <c r="M63" s="416"/>
      <c r="N63" s="416"/>
      <c r="O63" s="416"/>
      <c r="P63" s="416"/>
      <c r="Q63" s="416"/>
      <c r="R63" s="416"/>
      <c r="S63" s="416"/>
      <c r="T63" s="416"/>
      <c r="U63" s="416"/>
      <c r="V63" s="416"/>
      <c r="W63" s="416"/>
      <c r="X63" s="416"/>
      <c r="Y63" s="416"/>
      <c r="Z63" s="416"/>
      <c r="AA63" s="416"/>
      <c r="AB63" s="416"/>
      <c r="AC63" s="380"/>
      <c r="AD63" s="380"/>
      <c r="AE63" s="380"/>
      <c r="AF63" s="380"/>
      <c r="AG63" s="380"/>
      <c r="AH63" s="380"/>
      <c r="AI63" s="380"/>
      <c r="AJ63" s="380"/>
      <c r="AK63" s="380"/>
      <c r="AL63" s="380"/>
      <c r="AM63" s="416"/>
      <c r="AN63" s="416"/>
      <c r="AO63" s="416"/>
      <c r="AP63" s="416"/>
      <c r="AQ63" s="416"/>
      <c r="AR63" s="416"/>
      <c r="AS63" s="416"/>
      <c r="AT63" s="416"/>
      <c r="AU63" s="416"/>
      <c r="AV63" s="416"/>
      <c r="AW63" s="416"/>
      <c r="AX63" s="416"/>
      <c r="AY63" s="416"/>
      <c r="AZ63" s="416"/>
      <c r="BA63" s="416"/>
    </row>
    <row r="64" spans="3:53" ht="14.25" x14ac:dyDescent="0.2">
      <c r="C64" s="379"/>
      <c r="D64" s="379"/>
      <c r="E64" s="379"/>
      <c r="F64" s="379"/>
      <c r="G64" s="379"/>
      <c r="H64" s="379"/>
      <c r="I64" s="379"/>
      <c r="J64" s="379"/>
      <c r="K64" s="379"/>
      <c r="L64" s="379"/>
      <c r="M64" s="379"/>
      <c r="N64" s="379"/>
      <c r="O64" s="379"/>
      <c r="P64" s="379"/>
      <c r="Q64" s="379"/>
      <c r="R64" s="379"/>
      <c r="S64" s="379"/>
      <c r="T64" s="379"/>
      <c r="U64" s="379"/>
      <c r="V64" s="379"/>
      <c r="W64" s="379"/>
      <c r="X64" s="379"/>
      <c r="Y64" s="379"/>
      <c r="Z64" s="379"/>
      <c r="AA64" s="379"/>
      <c r="AB64" s="379"/>
      <c r="AC64" s="379"/>
      <c r="AD64" s="379"/>
      <c r="AE64" s="379"/>
      <c r="AF64" s="379"/>
      <c r="AG64" s="379"/>
      <c r="AH64" s="379"/>
      <c r="AI64" s="379"/>
      <c r="AJ64" s="379"/>
      <c r="AK64" s="379"/>
      <c r="AL64" s="379"/>
      <c r="AM64" s="379"/>
      <c r="AN64" s="379"/>
      <c r="AO64" s="379"/>
      <c r="AP64" s="379"/>
      <c r="AQ64" s="379"/>
      <c r="AR64" s="379"/>
      <c r="AS64" s="379"/>
      <c r="AT64" s="379"/>
      <c r="AU64" s="379"/>
      <c r="AV64" s="379"/>
      <c r="AW64" s="379"/>
      <c r="AX64" s="379"/>
      <c r="AY64" s="379"/>
      <c r="AZ64" s="379"/>
      <c r="BA64" s="379"/>
    </row>
    <row r="65" spans="2:64" ht="14.25" x14ac:dyDescent="0.25">
      <c r="C65" s="92"/>
      <c r="D65" s="92"/>
      <c r="E65" s="92"/>
      <c r="F65" s="92"/>
      <c r="G65" s="92"/>
      <c r="H65" s="92"/>
      <c r="I65" s="92"/>
      <c r="J65" s="92"/>
      <c r="K65" s="92"/>
      <c r="L65" s="92"/>
      <c r="M65" s="92"/>
      <c r="N65" s="92"/>
      <c r="O65" s="92"/>
      <c r="P65" s="92"/>
      <c r="Q65" s="92"/>
      <c r="R65" s="93"/>
      <c r="S65" s="93"/>
      <c r="T65" s="93"/>
      <c r="U65" s="93"/>
      <c r="V65" s="93"/>
      <c r="W65" s="93"/>
      <c r="X65" s="93"/>
      <c r="Y65" s="93"/>
      <c r="Z65" s="93"/>
      <c r="AA65" s="93"/>
      <c r="AB65" s="93"/>
      <c r="AC65" s="93"/>
      <c r="AD65" s="93"/>
      <c r="AE65" s="93"/>
      <c r="AF65" s="93"/>
      <c r="AG65" s="93"/>
      <c r="AH65" s="93"/>
      <c r="AI65" s="93"/>
      <c r="AJ65" s="93"/>
      <c r="AK65" s="93"/>
      <c r="AL65" s="93"/>
      <c r="AM65" s="93"/>
      <c r="AN65" s="93"/>
      <c r="AO65" s="93"/>
      <c r="AP65" s="93"/>
      <c r="AQ65" s="93"/>
      <c r="AR65" s="93"/>
      <c r="AS65" s="93"/>
      <c r="AT65" s="93"/>
      <c r="AU65" s="93"/>
      <c r="AV65" s="93"/>
      <c r="AW65" s="93"/>
      <c r="AX65" s="93"/>
      <c r="AY65" s="93"/>
      <c r="AZ65" s="93"/>
      <c r="BA65" s="93"/>
    </row>
    <row r="66" spans="2:64" ht="15.75" customHeight="1" x14ac:dyDescent="0.25">
      <c r="C66" s="424" t="s">
        <v>96</v>
      </c>
      <c r="D66" s="424"/>
      <c r="E66" s="424"/>
      <c r="F66" s="424"/>
      <c r="G66" s="424"/>
      <c r="H66" s="424"/>
      <c r="I66" s="424"/>
      <c r="J66" s="424"/>
      <c r="K66" s="424"/>
      <c r="L66" s="424"/>
      <c r="M66" s="424"/>
      <c r="N66" s="424"/>
      <c r="O66" s="424"/>
      <c r="P66" s="424"/>
      <c r="Q66" s="432"/>
      <c r="R66" s="232"/>
      <c r="S66" s="232"/>
      <c r="T66" s="232"/>
      <c r="U66" s="232"/>
      <c r="V66" s="232"/>
      <c r="W66" s="232"/>
      <c r="X66" s="232"/>
      <c r="Y66" s="232"/>
      <c r="Z66" s="232"/>
      <c r="AA66" s="232"/>
      <c r="AB66" s="232"/>
      <c r="AC66" s="232"/>
      <c r="AD66" s="232"/>
      <c r="AE66" s="232"/>
      <c r="AF66" s="232"/>
      <c r="AG66" s="232"/>
      <c r="AH66" s="232"/>
      <c r="AI66" s="232"/>
      <c r="AJ66" s="232"/>
      <c r="AK66" s="232"/>
      <c r="AL66" s="232"/>
      <c r="AM66" s="232"/>
      <c r="AN66" s="232"/>
      <c r="AO66" s="232"/>
      <c r="AP66" s="232"/>
      <c r="AQ66" s="232"/>
      <c r="AR66" s="232"/>
      <c r="AS66" s="232"/>
      <c r="AT66" s="232"/>
      <c r="AU66" s="232"/>
      <c r="AV66" s="232"/>
      <c r="AW66" s="232"/>
      <c r="AX66" s="232"/>
      <c r="AY66" s="232"/>
      <c r="AZ66" s="232"/>
      <c r="BA66" s="232"/>
    </row>
    <row r="67" spans="2:64" x14ac:dyDescent="0.2">
      <c r="C67" s="425"/>
      <c r="D67" s="425"/>
      <c r="E67" s="425"/>
      <c r="F67" s="425"/>
      <c r="G67" s="425"/>
      <c r="H67" s="425"/>
      <c r="I67" s="425"/>
      <c r="J67" s="425"/>
      <c r="K67" s="425"/>
      <c r="L67" s="425"/>
      <c r="M67" s="425"/>
      <c r="N67" s="425"/>
      <c r="O67" s="425"/>
      <c r="P67" s="425"/>
      <c r="Q67" s="425"/>
      <c r="R67" s="425"/>
      <c r="S67" s="425"/>
      <c r="T67" s="425"/>
      <c r="U67" s="425"/>
      <c r="V67" s="425"/>
      <c r="W67" s="425"/>
      <c r="X67" s="425"/>
      <c r="Y67" s="425"/>
      <c r="Z67" s="425"/>
      <c r="AA67" s="425"/>
      <c r="AB67" s="425"/>
      <c r="AC67" s="425"/>
      <c r="AD67" s="425"/>
      <c r="AE67" s="425"/>
      <c r="AF67" s="425"/>
      <c r="AG67" s="425"/>
      <c r="AH67" s="425"/>
      <c r="AI67" s="425"/>
      <c r="AJ67" s="425"/>
      <c r="AK67" s="425"/>
      <c r="AL67" s="425"/>
      <c r="AM67" s="425"/>
      <c r="AN67" s="425"/>
      <c r="AO67" s="425"/>
      <c r="AP67" s="425"/>
      <c r="AQ67" s="425"/>
      <c r="AR67" s="425"/>
      <c r="AS67" s="425"/>
      <c r="AT67" s="425"/>
      <c r="AU67" s="425"/>
      <c r="AV67" s="425"/>
      <c r="AW67" s="425"/>
      <c r="AX67" s="425"/>
      <c r="AY67" s="425"/>
      <c r="AZ67" s="425"/>
      <c r="BA67" s="425"/>
    </row>
    <row r="68" spans="2:64" x14ac:dyDescent="0.2">
      <c r="C68" s="204" t="s">
        <v>97</v>
      </c>
      <c r="D68" s="204"/>
      <c r="E68" s="204"/>
      <c r="F68" s="204"/>
      <c r="G68" s="204"/>
      <c r="H68" s="204"/>
      <c r="I68" s="204"/>
      <c r="J68" s="204"/>
      <c r="K68" s="204"/>
      <c r="L68" s="204"/>
      <c r="M68" s="204"/>
      <c r="N68" s="204"/>
      <c r="O68" s="204"/>
      <c r="P68" s="204"/>
      <c r="Q68" s="204"/>
      <c r="R68" s="204"/>
      <c r="S68" s="204"/>
      <c r="T68" s="204"/>
      <c r="U68" s="204"/>
      <c r="V68" s="204"/>
      <c r="W68" s="204"/>
      <c r="X68" s="204"/>
      <c r="Y68" s="204"/>
      <c r="Z68" s="204"/>
      <c r="AA68" s="204"/>
      <c r="AB68" s="204"/>
      <c r="AC68" s="204"/>
      <c r="AD68" s="204"/>
      <c r="AE68" s="204"/>
      <c r="AF68" s="204"/>
      <c r="AG68" s="204"/>
      <c r="AH68" s="204"/>
      <c r="AI68" s="204"/>
      <c r="AJ68" s="204"/>
      <c r="AK68" s="204"/>
      <c r="AL68" s="204"/>
      <c r="AM68" s="204"/>
      <c r="AN68" s="204"/>
      <c r="AO68" s="204"/>
      <c r="AP68" s="204"/>
      <c r="AQ68" s="204"/>
      <c r="AR68" s="204"/>
      <c r="AS68" s="204"/>
      <c r="AT68" s="204"/>
      <c r="AU68" s="204"/>
      <c r="AV68" s="204"/>
      <c r="AW68" s="204"/>
      <c r="AX68" s="204"/>
      <c r="AY68" s="204"/>
      <c r="AZ68" s="204"/>
      <c r="BA68" s="204"/>
    </row>
    <row r="69" spans="2:64" x14ac:dyDescent="0.2">
      <c r="B69" s="11" t="s">
        <v>207</v>
      </c>
      <c r="C69" s="201" t="s">
        <v>225</v>
      </c>
      <c r="D69" s="201"/>
      <c r="E69" s="201"/>
      <c r="F69" s="201"/>
      <c r="G69" s="201"/>
      <c r="H69" s="201"/>
      <c r="I69" s="201"/>
      <c r="J69" s="201"/>
      <c r="K69" s="201"/>
      <c r="L69" s="201"/>
      <c r="M69" s="201"/>
      <c r="N69" s="201"/>
      <c r="O69" s="201"/>
      <c r="P69" s="201"/>
      <c r="Q69" s="201"/>
      <c r="R69" s="201"/>
      <c r="S69" s="201"/>
      <c r="T69" s="443" t="s">
        <v>21</v>
      </c>
      <c r="U69" s="443"/>
      <c r="V69" s="443"/>
      <c r="W69" s="443"/>
      <c r="X69" s="443"/>
      <c r="Y69" s="201" t="s">
        <v>214</v>
      </c>
      <c r="Z69" s="201"/>
      <c r="AA69" s="201"/>
      <c r="AB69" s="201"/>
      <c r="AC69" s="201"/>
      <c r="AD69" s="201"/>
      <c r="AE69" s="201"/>
      <c r="AF69" s="201"/>
      <c r="AG69" s="201"/>
      <c r="AH69" s="201"/>
      <c r="AI69" s="201"/>
      <c r="AJ69" s="201"/>
      <c r="AK69" s="201"/>
      <c r="AL69" s="201"/>
      <c r="AM69" s="201"/>
      <c r="AN69" s="201"/>
      <c r="AO69" s="201"/>
      <c r="AP69" s="201"/>
      <c r="AQ69" s="201"/>
      <c r="AR69" s="201"/>
      <c r="AS69" s="201"/>
      <c r="AT69" s="201"/>
      <c r="AU69" s="201"/>
      <c r="AV69" s="201"/>
      <c r="AW69" s="201"/>
      <c r="AX69" s="201"/>
      <c r="AY69" s="201"/>
      <c r="AZ69" s="201"/>
      <c r="BA69" s="201"/>
    </row>
    <row r="70" spans="2:64" x14ac:dyDescent="0.2">
      <c r="B70" s="11" t="s">
        <v>207</v>
      </c>
      <c r="C70" s="433" t="s">
        <v>151</v>
      </c>
      <c r="D70" s="433"/>
      <c r="E70" s="433"/>
      <c r="F70" s="433"/>
      <c r="G70" s="433"/>
      <c r="H70" s="433"/>
      <c r="I70" s="433"/>
      <c r="J70" s="433"/>
      <c r="K70" s="433"/>
      <c r="L70" s="433"/>
      <c r="M70" s="433"/>
      <c r="N70" s="433"/>
      <c r="O70" s="433"/>
      <c r="P70" s="433"/>
      <c r="Q70" s="433"/>
      <c r="R70" s="433"/>
      <c r="S70" s="434"/>
      <c r="T70" s="441">
        <f>+SUMIF(Desfases!$P$7:$P$7000,'Reporte Seguimiento'!C70,Desfases!$AT$7:$AT$7000)</f>
        <v>0</v>
      </c>
      <c r="U70" s="442"/>
      <c r="V70" s="442"/>
      <c r="W70" s="442"/>
      <c r="X70" s="61"/>
      <c r="Y70" s="439"/>
      <c r="Z70" s="440"/>
      <c r="AA70" s="440"/>
      <c r="AB70" s="440"/>
      <c r="AC70" s="440"/>
      <c r="AD70" s="440"/>
      <c r="AE70" s="440"/>
      <c r="AF70" s="440"/>
      <c r="AG70" s="440"/>
      <c r="AH70" s="440"/>
      <c r="AI70" s="440"/>
      <c r="AJ70" s="440"/>
      <c r="AK70" s="440"/>
      <c r="AL70" s="440"/>
      <c r="AM70" s="440"/>
      <c r="AN70" s="440"/>
      <c r="AO70" s="440"/>
      <c r="AP70" s="440"/>
      <c r="AQ70" s="440"/>
      <c r="AR70" s="440"/>
      <c r="AS70" s="440"/>
      <c r="AT70" s="440"/>
      <c r="AU70" s="440"/>
      <c r="AV70" s="440"/>
      <c r="AW70" s="440"/>
      <c r="AX70" s="440"/>
      <c r="AY70" s="440"/>
      <c r="AZ70" s="440"/>
      <c r="BA70" s="440"/>
    </row>
    <row r="71" spans="2:64" x14ac:dyDescent="0.2">
      <c r="B71" s="11" t="s">
        <v>207</v>
      </c>
      <c r="C71" s="433" t="s">
        <v>149</v>
      </c>
      <c r="D71" s="433"/>
      <c r="E71" s="433"/>
      <c r="F71" s="433"/>
      <c r="G71" s="433"/>
      <c r="H71" s="433"/>
      <c r="I71" s="433"/>
      <c r="J71" s="433"/>
      <c r="K71" s="433"/>
      <c r="L71" s="433"/>
      <c r="M71" s="433"/>
      <c r="N71" s="433"/>
      <c r="O71" s="433"/>
      <c r="P71" s="433"/>
      <c r="Q71" s="433"/>
      <c r="R71" s="433"/>
      <c r="S71" s="434"/>
      <c r="T71" s="441">
        <f>+SUMIF(Desfases!$P$7:$P$7000,'Reporte Seguimiento'!C71,Desfases!$AT$7:$AT$7000)</f>
        <v>0</v>
      </c>
      <c r="U71" s="442"/>
      <c r="V71" s="442"/>
      <c r="W71" s="442"/>
      <c r="X71" s="61"/>
      <c r="Y71" s="439"/>
      <c r="Z71" s="440"/>
      <c r="AA71" s="440"/>
      <c r="AB71" s="440"/>
      <c r="AC71" s="440"/>
      <c r="AD71" s="440"/>
      <c r="AE71" s="440"/>
      <c r="AF71" s="440"/>
      <c r="AG71" s="440"/>
      <c r="AH71" s="440"/>
      <c r="AI71" s="440"/>
      <c r="AJ71" s="440"/>
      <c r="AK71" s="440"/>
      <c r="AL71" s="440"/>
      <c r="AM71" s="440"/>
      <c r="AN71" s="440"/>
      <c r="AO71" s="440"/>
      <c r="AP71" s="440"/>
      <c r="AQ71" s="440"/>
      <c r="AR71" s="440"/>
      <c r="AS71" s="440"/>
      <c r="AT71" s="440"/>
      <c r="AU71" s="440"/>
      <c r="AV71" s="440"/>
      <c r="AW71" s="440"/>
      <c r="AX71" s="440"/>
      <c r="AY71" s="440"/>
      <c r="AZ71" s="440"/>
      <c r="BA71" s="440"/>
      <c r="BL71" s="29"/>
    </row>
    <row r="72" spans="2:64" x14ac:dyDescent="0.2">
      <c r="B72" s="11" t="s">
        <v>207</v>
      </c>
      <c r="C72" s="433" t="s">
        <v>180</v>
      </c>
      <c r="D72" s="433"/>
      <c r="E72" s="433"/>
      <c r="F72" s="433"/>
      <c r="G72" s="433"/>
      <c r="H72" s="433"/>
      <c r="I72" s="433"/>
      <c r="J72" s="433"/>
      <c r="K72" s="433"/>
      <c r="L72" s="433"/>
      <c r="M72" s="433"/>
      <c r="N72" s="433"/>
      <c r="O72" s="433"/>
      <c r="P72" s="433"/>
      <c r="Q72" s="433"/>
      <c r="R72" s="433"/>
      <c r="S72" s="434"/>
      <c r="T72" s="441">
        <f>+SUMIF(Desfases!$P$7:$P$7000,'Reporte Seguimiento'!C72,Desfases!$AT$7:$AT$7000)</f>
        <v>0</v>
      </c>
      <c r="U72" s="442"/>
      <c r="V72" s="442"/>
      <c r="W72" s="442"/>
      <c r="X72" s="61"/>
      <c r="Y72" s="439"/>
      <c r="Z72" s="440"/>
      <c r="AA72" s="440"/>
      <c r="AB72" s="440"/>
      <c r="AC72" s="440"/>
      <c r="AD72" s="440"/>
      <c r="AE72" s="440"/>
      <c r="AF72" s="440"/>
      <c r="AG72" s="440"/>
      <c r="AH72" s="440"/>
      <c r="AI72" s="440"/>
      <c r="AJ72" s="440"/>
      <c r="AK72" s="440"/>
      <c r="AL72" s="440"/>
      <c r="AM72" s="440"/>
      <c r="AN72" s="440"/>
      <c r="AO72" s="440"/>
      <c r="AP72" s="440"/>
      <c r="AQ72" s="440"/>
      <c r="AR72" s="440"/>
      <c r="AS72" s="440"/>
      <c r="AT72" s="440"/>
      <c r="AU72" s="440"/>
      <c r="AV72" s="440"/>
      <c r="AW72" s="440"/>
      <c r="AX72" s="440"/>
      <c r="AY72" s="440"/>
      <c r="AZ72" s="440"/>
      <c r="BA72" s="440"/>
      <c r="BK72" s="15"/>
      <c r="BL72" s="29"/>
    </row>
    <row r="73" spans="2:64" x14ac:dyDescent="0.2">
      <c r="B73" s="11" t="s">
        <v>207</v>
      </c>
      <c r="C73" s="433" t="s">
        <v>150</v>
      </c>
      <c r="D73" s="433"/>
      <c r="E73" s="433"/>
      <c r="F73" s="433"/>
      <c r="G73" s="433"/>
      <c r="H73" s="433"/>
      <c r="I73" s="433"/>
      <c r="J73" s="433"/>
      <c r="K73" s="433"/>
      <c r="L73" s="433"/>
      <c r="M73" s="433"/>
      <c r="N73" s="433"/>
      <c r="O73" s="433"/>
      <c r="P73" s="433"/>
      <c r="Q73" s="433"/>
      <c r="R73" s="433"/>
      <c r="S73" s="434"/>
      <c r="T73" s="441">
        <f>+SUMIF(Desfases!$P$7:$P$7000,'Reporte Seguimiento'!C73,Desfases!$AT$7:$AT$7000)</f>
        <v>0</v>
      </c>
      <c r="U73" s="442"/>
      <c r="V73" s="442"/>
      <c r="W73" s="442"/>
      <c r="X73" s="61"/>
      <c r="Y73" s="439"/>
      <c r="Z73" s="440"/>
      <c r="AA73" s="440"/>
      <c r="AB73" s="440"/>
      <c r="AC73" s="440"/>
      <c r="AD73" s="440"/>
      <c r="AE73" s="440"/>
      <c r="AF73" s="440"/>
      <c r="AG73" s="440"/>
      <c r="AH73" s="440"/>
      <c r="AI73" s="440"/>
      <c r="AJ73" s="440"/>
      <c r="AK73" s="440"/>
      <c r="AL73" s="440"/>
      <c r="AM73" s="440"/>
      <c r="AN73" s="440"/>
      <c r="AO73" s="440"/>
      <c r="AP73" s="440"/>
      <c r="AQ73" s="440"/>
      <c r="AR73" s="440"/>
      <c r="AS73" s="440"/>
      <c r="AT73" s="440"/>
      <c r="AU73" s="440"/>
      <c r="AV73" s="440"/>
      <c r="AW73" s="440"/>
      <c r="AX73" s="440"/>
      <c r="AY73" s="440"/>
      <c r="AZ73" s="440"/>
      <c r="BA73" s="440"/>
      <c r="BL73" s="29"/>
    </row>
    <row r="74" spans="2:64" x14ac:dyDescent="0.2">
      <c r="B74" s="11" t="s">
        <v>207</v>
      </c>
      <c r="C74" s="433" t="s">
        <v>176</v>
      </c>
      <c r="D74" s="433"/>
      <c r="E74" s="433"/>
      <c r="F74" s="433"/>
      <c r="G74" s="433"/>
      <c r="H74" s="433"/>
      <c r="I74" s="433"/>
      <c r="J74" s="433"/>
      <c r="K74" s="433"/>
      <c r="L74" s="433"/>
      <c r="M74" s="433"/>
      <c r="N74" s="433"/>
      <c r="O74" s="433"/>
      <c r="P74" s="433"/>
      <c r="Q74" s="433"/>
      <c r="R74" s="433"/>
      <c r="S74" s="434"/>
      <c r="T74" s="441">
        <f>+SUMIF(Desfases!$P$7:$P$7000,'Reporte Seguimiento'!C74,Desfases!$AT$7:$AT$7000)</f>
        <v>0</v>
      </c>
      <c r="U74" s="442"/>
      <c r="V74" s="442"/>
      <c r="W74" s="442"/>
      <c r="X74" s="61"/>
      <c r="Y74" s="439"/>
      <c r="Z74" s="440"/>
      <c r="AA74" s="440"/>
      <c r="AB74" s="440"/>
      <c r="AC74" s="440"/>
      <c r="AD74" s="440"/>
      <c r="AE74" s="440"/>
      <c r="AF74" s="440"/>
      <c r="AG74" s="440"/>
      <c r="AH74" s="440"/>
      <c r="AI74" s="440"/>
      <c r="AJ74" s="440"/>
      <c r="AK74" s="440"/>
      <c r="AL74" s="440"/>
      <c r="AM74" s="440"/>
      <c r="AN74" s="440"/>
      <c r="AO74" s="440"/>
      <c r="AP74" s="440"/>
      <c r="AQ74" s="440"/>
      <c r="AR74" s="440"/>
      <c r="AS74" s="440"/>
      <c r="AT74" s="440"/>
      <c r="AU74" s="440"/>
      <c r="AV74" s="440"/>
      <c r="AW74" s="440"/>
      <c r="AX74" s="440"/>
      <c r="AY74" s="440"/>
      <c r="AZ74" s="440"/>
      <c r="BA74" s="440"/>
      <c r="BL74" s="29"/>
    </row>
    <row r="75" spans="2:64" x14ac:dyDescent="0.2">
      <c r="B75" s="11" t="s">
        <v>207</v>
      </c>
      <c r="C75" s="433" t="s">
        <v>226</v>
      </c>
      <c r="D75" s="433"/>
      <c r="E75" s="433"/>
      <c r="F75" s="433"/>
      <c r="G75" s="433"/>
      <c r="H75" s="433"/>
      <c r="I75" s="433"/>
      <c r="J75" s="433"/>
      <c r="K75" s="433"/>
      <c r="L75" s="433"/>
      <c r="M75" s="433"/>
      <c r="N75" s="433"/>
      <c r="O75" s="433"/>
      <c r="P75" s="433"/>
      <c r="Q75" s="433"/>
      <c r="R75" s="433"/>
      <c r="S75" s="434"/>
      <c r="T75" s="441">
        <f>+SUMIF(Desfases!$P$7:$P$7000,'Reporte Seguimiento'!C75,Desfases!$AT$7:$AT$7000)</f>
        <v>0</v>
      </c>
      <c r="U75" s="442"/>
      <c r="V75" s="442"/>
      <c r="W75" s="442"/>
      <c r="X75" s="61"/>
      <c r="Y75" s="439"/>
      <c r="Z75" s="440"/>
      <c r="AA75" s="440"/>
      <c r="AB75" s="440"/>
      <c r="AC75" s="440"/>
      <c r="AD75" s="440"/>
      <c r="AE75" s="440"/>
      <c r="AF75" s="440"/>
      <c r="AG75" s="440"/>
      <c r="AH75" s="440"/>
      <c r="AI75" s="440"/>
      <c r="AJ75" s="440"/>
      <c r="AK75" s="440"/>
      <c r="AL75" s="440"/>
      <c r="AM75" s="440"/>
      <c r="AN75" s="440"/>
      <c r="AO75" s="440"/>
      <c r="AP75" s="440"/>
      <c r="AQ75" s="440"/>
      <c r="AR75" s="440"/>
      <c r="AS75" s="440"/>
      <c r="AT75" s="440"/>
      <c r="AU75" s="440"/>
      <c r="AV75" s="440"/>
      <c r="AW75" s="440"/>
      <c r="AX75" s="440"/>
      <c r="AY75" s="440"/>
      <c r="AZ75" s="440"/>
      <c r="BA75" s="440"/>
      <c r="BK75" s="15"/>
      <c r="BL75" s="29"/>
    </row>
    <row r="76" spans="2:64" x14ac:dyDescent="0.2">
      <c r="B76" s="11" t="s">
        <v>207</v>
      </c>
      <c r="C76" s="433" t="s">
        <v>227</v>
      </c>
      <c r="D76" s="433"/>
      <c r="E76" s="433"/>
      <c r="F76" s="433"/>
      <c r="G76" s="433"/>
      <c r="H76" s="433"/>
      <c r="I76" s="433"/>
      <c r="J76" s="433"/>
      <c r="K76" s="433"/>
      <c r="L76" s="433"/>
      <c r="M76" s="433"/>
      <c r="N76" s="433"/>
      <c r="O76" s="433"/>
      <c r="P76" s="433"/>
      <c r="Q76" s="433"/>
      <c r="R76" s="433"/>
      <c r="S76" s="434"/>
      <c r="T76" s="441">
        <f>+SUMIF(Desfases!$P$7:$P$7000,'Reporte Seguimiento'!C76,Desfases!$AT$7:$AT$7000)</f>
        <v>0</v>
      </c>
      <c r="U76" s="442"/>
      <c r="V76" s="442"/>
      <c r="W76" s="442"/>
      <c r="X76" s="61"/>
      <c r="Y76" s="439"/>
      <c r="Z76" s="440"/>
      <c r="AA76" s="440"/>
      <c r="AB76" s="440"/>
      <c r="AC76" s="440"/>
      <c r="AD76" s="440"/>
      <c r="AE76" s="440"/>
      <c r="AF76" s="440"/>
      <c r="AG76" s="440"/>
      <c r="AH76" s="440"/>
      <c r="AI76" s="440"/>
      <c r="AJ76" s="440"/>
      <c r="AK76" s="440"/>
      <c r="AL76" s="440"/>
      <c r="AM76" s="440"/>
      <c r="AN76" s="440"/>
      <c r="AO76" s="440"/>
      <c r="AP76" s="440"/>
      <c r="AQ76" s="440"/>
      <c r="AR76" s="440"/>
      <c r="AS76" s="440"/>
      <c r="AT76" s="440"/>
      <c r="AU76" s="440"/>
      <c r="AV76" s="440"/>
      <c r="AW76" s="440"/>
      <c r="AX76" s="440"/>
      <c r="AY76" s="440"/>
      <c r="AZ76" s="440"/>
      <c r="BA76" s="440"/>
      <c r="BK76" s="15"/>
      <c r="BL76" s="29"/>
    </row>
    <row r="77" spans="2:64" x14ac:dyDescent="0.2">
      <c r="B77" s="11" t="s">
        <v>207</v>
      </c>
      <c r="C77" s="433" t="s">
        <v>153</v>
      </c>
      <c r="D77" s="433"/>
      <c r="E77" s="433"/>
      <c r="F77" s="433"/>
      <c r="G77" s="433"/>
      <c r="H77" s="433"/>
      <c r="I77" s="433"/>
      <c r="J77" s="433"/>
      <c r="K77" s="433"/>
      <c r="L77" s="433"/>
      <c r="M77" s="433"/>
      <c r="N77" s="433"/>
      <c r="O77" s="433"/>
      <c r="P77" s="433"/>
      <c r="Q77" s="433"/>
      <c r="R77" s="433"/>
      <c r="S77" s="434"/>
      <c r="T77" s="441">
        <f>+SUMIF(Desfases!$P$7:$P$7000,'Reporte Seguimiento'!C77,Desfases!$AT$7:$AT$7000)</f>
        <v>0</v>
      </c>
      <c r="U77" s="442"/>
      <c r="V77" s="442"/>
      <c r="W77" s="442"/>
      <c r="X77" s="61"/>
      <c r="Y77" s="439"/>
      <c r="Z77" s="440"/>
      <c r="AA77" s="440"/>
      <c r="AB77" s="440"/>
      <c r="AC77" s="440"/>
      <c r="AD77" s="440"/>
      <c r="AE77" s="440"/>
      <c r="AF77" s="440"/>
      <c r="AG77" s="440"/>
      <c r="AH77" s="440"/>
      <c r="AI77" s="440"/>
      <c r="AJ77" s="440"/>
      <c r="AK77" s="440"/>
      <c r="AL77" s="440"/>
      <c r="AM77" s="440"/>
      <c r="AN77" s="440"/>
      <c r="AO77" s="440"/>
      <c r="AP77" s="440"/>
      <c r="AQ77" s="440"/>
      <c r="AR77" s="440"/>
      <c r="AS77" s="440"/>
      <c r="AT77" s="440"/>
      <c r="AU77" s="440"/>
      <c r="AV77" s="440"/>
      <c r="AW77" s="440"/>
      <c r="AX77" s="440"/>
      <c r="AY77" s="440"/>
      <c r="AZ77" s="440"/>
      <c r="BA77" s="440"/>
      <c r="BK77" s="15"/>
      <c r="BL77" s="29"/>
    </row>
    <row r="78" spans="2:64" x14ac:dyDescent="0.2">
      <c r="B78" s="11" t="s">
        <v>207</v>
      </c>
      <c r="C78" s="433" t="s">
        <v>152</v>
      </c>
      <c r="D78" s="433"/>
      <c r="E78" s="433"/>
      <c r="F78" s="433"/>
      <c r="G78" s="433"/>
      <c r="H78" s="433"/>
      <c r="I78" s="433"/>
      <c r="J78" s="433"/>
      <c r="K78" s="433"/>
      <c r="L78" s="433"/>
      <c r="M78" s="433"/>
      <c r="N78" s="433"/>
      <c r="O78" s="433"/>
      <c r="P78" s="433"/>
      <c r="Q78" s="433"/>
      <c r="R78" s="433"/>
      <c r="S78" s="434"/>
      <c r="T78" s="441">
        <f>+SUMIF(Desfases!$P$7:$P$7000,'Reporte Seguimiento'!C78,Desfases!$AT$7:$AT$7000)</f>
        <v>57.25</v>
      </c>
      <c r="U78" s="442"/>
      <c r="V78" s="442"/>
      <c r="W78" s="442"/>
      <c r="X78" s="61"/>
      <c r="Y78" s="439"/>
      <c r="Z78" s="440"/>
      <c r="AA78" s="440"/>
      <c r="AB78" s="440"/>
      <c r="AC78" s="440"/>
      <c r="AD78" s="440"/>
      <c r="AE78" s="440"/>
      <c r="AF78" s="440"/>
      <c r="AG78" s="440"/>
      <c r="AH78" s="440"/>
      <c r="AI78" s="440"/>
      <c r="AJ78" s="440"/>
      <c r="AK78" s="440"/>
      <c r="AL78" s="440"/>
      <c r="AM78" s="440"/>
      <c r="AN78" s="440"/>
      <c r="AO78" s="440"/>
      <c r="AP78" s="440"/>
      <c r="AQ78" s="440"/>
      <c r="AR78" s="440"/>
      <c r="AS78" s="440"/>
      <c r="AT78" s="440"/>
      <c r="AU78" s="440"/>
      <c r="AV78" s="440"/>
      <c r="AW78" s="440"/>
      <c r="AX78" s="440"/>
      <c r="AY78" s="440"/>
      <c r="AZ78" s="440"/>
      <c r="BA78" s="440"/>
      <c r="BK78" s="15"/>
      <c r="BL78" s="29"/>
    </row>
    <row r="79" spans="2:64" x14ac:dyDescent="0.2">
      <c r="B79" s="11" t="s">
        <v>207</v>
      </c>
      <c r="C79" s="433" t="s">
        <v>178</v>
      </c>
      <c r="D79" s="433"/>
      <c r="E79" s="433"/>
      <c r="F79" s="433"/>
      <c r="G79" s="433"/>
      <c r="H79" s="433"/>
      <c r="I79" s="433"/>
      <c r="J79" s="433"/>
      <c r="K79" s="433"/>
      <c r="L79" s="433"/>
      <c r="M79" s="433"/>
      <c r="N79" s="433"/>
      <c r="O79" s="433"/>
      <c r="P79" s="433"/>
      <c r="Q79" s="433"/>
      <c r="R79" s="433"/>
      <c r="S79" s="434"/>
      <c r="T79" s="441">
        <f>+SUMIF(Desfases!$P$7:$P$7000,'Reporte Seguimiento'!C79,Desfases!$AT$7:$AT$7000)</f>
        <v>0</v>
      </c>
      <c r="U79" s="442"/>
      <c r="V79" s="442"/>
      <c r="W79" s="442"/>
      <c r="X79" s="61"/>
      <c r="Y79" s="439"/>
      <c r="Z79" s="440"/>
      <c r="AA79" s="440"/>
      <c r="AB79" s="440"/>
      <c r="AC79" s="440"/>
      <c r="AD79" s="440"/>
      <c r="AE79" s="440"/>
      <c r="AF79" s="440"/>
      <c r="AG79" s="440"/>
      <c r="AH79" s="440"/>
      <c r="AI79" s="440"/>
      <c r="AJ79" s="440"/>
      <c r="AK79" s="440"/>
      <c r="AL79" s="440"/>
      <c r="AM79" s="440"/>
      <c r="AN79" s="440"/>
      <c r="AO79" s="440"/>
      <c r="AP79" s="440"/>
      <c r="AQ79" s="440"/>
      <c r="AR79" s="440"/>
      <c r="AS79" s="440"/>
      <c r="AT79" s="440"/>
      <c r="AU79" s="440"/>
      <c r="AV79" s="440"/>
      <c r="AW79" s="440"/>
      <c r="AX79" s="440"/>
      <c r="AY79" s="440"/>
      <c r="AZ79" s="440"/>
      <c r="BA79" s="440"/>
      <c r="BK79" s="15"/>
      <c r="BL79" s="29"/>
    </row>
    <row r="80" spans="2:64" x14ac:dyDescent="0.2">
      <c r="B80" s="11" t="s">
        <v>207</v>
      </c>
      <c r="C80" s="433" t="s">
        <v>175</v>
      </c>
      <c r="D80" s="433"/>
      <c r="E80" s="433"/>
      <c r="F80" s="433"/>
      <c r="G80" s="433"/>
      <c r="H80" s="433"/>
      <c r="I80" s="433"/>
      <c r="J80" s="433"/>
      <c r="K80" s="433"/>
      <c r="L80" s="433"/>
      <c r="M80" s="433"/>
      <c r="N80" s="433"/>
      <c r="O80" s="433"/>
      <c r="P80" s="433"/>
      <c r="Q80" s="433"/>
      <c r="R80" s="433"/>
      <c r="S80" s="434"/>
      <c r="T80" s="441">
        <f>+SUMIF(Desfases!$P$7:$P$7000,'Reporte Seguimiento'!C80,Desfases!$AT$7:$AT$7000)</f>
        <v>0</v>
      </c>
      <c r="U80" s="442"/>
      <c r="V80" s="442"/>
      <c r="W80" s="442"/>
      <c r="X80" s="61"/>
      <c r="Y80" s="439"/>
      <c r="Z80" s="440"/>
      <c r="AA80" s="440"/>
      <c r="AB80" s="440"/>
      <c r="AC80" s="440"/>
      <c r="AD80" s="440"/>
      <c r="AE80" s="440"/>
      <c r="AF80" s="440"/>
      <c r="AG80" s="440"/>
      <c r="AH80" s="440"/>
      <c r="AI80" s="440"/>
      <c r="AJ80" s="440"/>
      <c r="AK80" s="440"/>
      <c r="AL80" s="440"/>
      <c r="AM80" s="440"/>
      <c r="AN80" s="440"/>
      <c r="AO80" s="440"/>
      <c r="AP80" s="440"/>
      <c r="AQ80" s="440"/>
      <c r="AR80" s="440"/>
      <c r="AS80" s="440"/>
      <c r="AT80" s="440"/>
      <c r="AU80" s="440"/>
      <c r="AV80" s="440"/>
      <c r="AW80" s="440"/>
      <c r="AX80" s="440"/>
      <c r="AY80" s="440"/>
      <c r="AZ80" s="440"/>
      <c r="BA80" s="440"/>
      <c r="BK80" s="15"/>
      <c r="BL80" s="29"/>
    </row>
    <row r="81" spans="2:64" x14ac:dyDescent="0.2">
      <c r="B81" s="11" t="s">
        <v>207</v>
      </c>
      <c r="C81" s="433" t="s">
        <v>179</v>
      </c>
      <c r="D81" s="433"/>
      <c r="E81" s="433"/>
      <c r="F81" s="433"/>
      <c r="G81" s="433"/>
      <c r="H81" s="433"/>
      <c r="I81" s="433"/>
      <c r="J81" s="433"/>
      <c r="K81" s="433"/>
      <c r="L81" s="433"/>
      <c r="M81" s="433"/>
      <c r="N81" s="433"/>
      <c r="O81" s="433"/>
      <c r="P81" s="433"/>
      <c r="Q81" s="433"/>
      <c r="R81" s="433"/>
      <c r="S81" s="434"/>
      <c r="T81" s="441">
        <f>+SUMIF(Desfases!$P$7:$P$7000,'Reporte Seguimiento'!C81,Desfases!$AT$7:$AT$7000)</f>
        <v>0</v>
      </c>
      <c r="U81" s="442"/>
      <c r="V81" s="442"/>
      <c r="W81" s="442"/>
      <c r="X81" s="61"/>
      <c r="Y81" s="439"/>
      <c r="Z81" s="440"/>
      <c r="AA81" s="440"/>
      <c r="AB81" s="440"/>
      <c r="AC81" s="440"/>
      <c r="AD81" s="440"/>
      <c r="AE81" s="440"/>
      <c r="AF81" s="440"/>
      <c r="AG81" s="440"/>
      <c r="AH81" s="440"/>
      <c r="AI81" s="440"/>
      <c r="AJ81" s="440"/>
      <c r="AK81" s="440"/>
      <c r="AL81" s="440"/>
      <c r="AM81" s="440"/>
      <c r="AN81" s="440"/>
      <c r="AO81" s="440"/>
      <c r="AP81" s="440"/>
      <c r="AQ81" s="440"/>
      <c r="AR81" s="440"/>
      <c r="AS81" s="440"/>
      <c r="AT81" s="440"/>
      <c r="AU81" s="440"/>
      <c r="AV81" s="440"/>
      <c r="AW81" s="440"/>
      <c r="AX81" s="440"/>
      <c r="AY81" s="440"/>
      <c r="AZ81" s="440"/>
      <c r="BA81" s="440"/>
      <c r="BK81" s="15"/>
      <c r="BL81" s="29"/>
    </row>
    <row r="82" spans="2:64" x14ac:dyDescent="0.2">
      <c r="B82" s="11" t="s">
        <v>207</v>
      </c>
      <c r="C82" s="433" t="s">
        <v>177</v>
      </c>
      <c r="D82" s="433"/>
      <c r="E82" s="433"/>
      <c r="F82" s="433"/>
      <c r="G82" s="433"/>
      <c r="H82" s="433"/>
      <c r="I82" s="433"/>
      <c r="J82" s="433"/>
      <c r="K82" s="433"/>
      <c r="L82" s="433"/>
      <c r="M82" s="433"/>
      <c r="N82" s="433"/>
      <c r="O82" s="433"/>
      <c r="P82" s="433"/>
      <c r="Q82" s="433"/>
      <c r="R82" s="433"/>
      <c r="S82" s="434"/>
      <c r="T82" s="441">
        <f>+SUMIF(Desfases!$P$7:$P$7000,'Reporte Seguimiento'!C82,Desfases!$AT$7:$AT$7000)</f>
        <v>0</v>
      </c>
      <c r="U82" s="442"/>
      <c r="V82" s="442"/>
      <c r="W82" s="442"/>
      <c r="X82" s="61"/>
      <c r="Y82" s="439"/>
      <c r="Z82" s="440"/>
      <c r="AA82" s="440"/>
      <c r="AB82" s="440"/>
      <c r="AC82" s="440"/>
      <c r="AD82" s="440"/>
      <c r="AE82" s="440"/>
      <c r="AF82" s="440"/>
      <c r="AG82" s="440"/>
      <c r="AH82" s="440"/>
      <c r="AI82" s="440"/>
      <c r="AJ82" s="440"/>
      <c r="AK82" s="440"/>
      <c r="AL82" s="440"/>
      <c r="AM82" s="440"/>
      <c r="AN82" s="440"/>
      <c r="AO82" s="440"/>
      <c r="AP82" s="440"/>
      <c r="AQ82" s="440"/>
      <c r="AR82" s="440"/>
      <c r="AS82" s="440"/>
      <c r="AT82" s="440"/>
      <c r="AU82" s="440"/>
      <c r="AV82" s="440"/>
      <c r="AW82" s="440"/>
      <c r="AX82" s="440"/>
      <c r="AY82" s="440"/>
      <c r="AZ82" s="440"/>
      <c r="BA82" s="440"/>
      <c r="BK82" s="15"/>
      <c r="BL82" s="29"/>
    </row>
    <row r="83" spans="2:64" x14ac:dyDescent="0.2">
      <c r="C83" s="348"/>
      <c r="D83" s="348"/>
      <c r="E83" s="348"/>
      <c r="F83" s="348"/>
      <c r="G83" s="348"/>
      <c r="H83" s="348"/>
      <c r="I83" s="348"/>
      <c r="J83" s="348"/>
      <c r="K83" s="348"/>
      <c r="L83" s="348"/>
      <c r="M83" s="348"/>
      <c r="N83" s="348"/>
      <c r="O83" s="348"/>
      <c r="P83" s="348"/>
      <c r="Q83" s="348"/>
      <c r="R83" s="348"/>
      <c r="S83" s="348"/>
      <c r="T83" s="422"/>
      <c r="U83" s="422"/>
      <c r="V83" s="422"/>
      <c r="W83" s="422"/>
      <c r="X83" s="422"/>
      <c r="Y83" s="348"/>
      <c r="Z83" s="348"/>
      <c r="AA83" s="348"/>
      <c r="AB83" s="348"/>
      <c r="AC83" s="348"/>
      <c r="AD83" s="348"/>
      <c r="AE83" s="348"/>
      <c r="AF83" s="348"/>
      <c r="AG83" s="348"/>
      <c r="AH83" s="348"/>
      <c r="AI83" s="348"/>
      <c r="AJ83" s="348"/>
      <c r="AK83" s="348"/>
      <c r="AL83" s="348"/>
      <c r="AM83" s="348"/>
      <c r="AN83" s="348"/>
      <c r="AO83" s="348"/>
      <c r="AP83" s="348"/>
      <c r="AQ83" s="348"/>
      <c r="AR83" s="348"/>
      <c r="AS83" s="348"/>
      <c r="AT83" s="348"/>
      <c r="AU83" s="348"/>
      <c r="AV83" s="348"/>
      <c r="AW83" s="348"/>
      <c r="AX83" s="348"/>
      <c r="AY83" s="348"/>
      <c r="AZ83" s="348"/>
      <c r="BA83" s="348"/>
      <c r="BK83" s="15"/>
      <c r="BL83" s="29"/>
    </row>
    <row r="84" spans="2:64" ht="15.75" customHeight="1" x14ac:dyDescent="0.2">
      <c r="C84" s="442"/>
      <c r="D84" s="442"/>
      <c r="E84" s="442"/>
      <c r="F84" s="442"/>
      <c r="G84" s="442"/>
      <c r="H84" s="442"/>
      <c r="I84" s="442"/>
      <c r="J84" s="442"/>
      <c r="K84" s="442"/>
      <c r="L84" s="442"/>
      <c r="M84" s="442"/>
      <c r="N84" s="442"/>
      <c r="O84" s="442"/>
      <c r="P84" s="442"/>
      <c r="Q84" s="442"/>
      <c r="R84" s="442"/>
      <c r="S84" s="442"/>
      <c r="T84" s="442"/>
      <c r="U84" s="442"/>
      <c r="V84" s="442"/>
      <c r="W84" s="442"/>
      <c r="X84" s="442"/>
      <c r="Y84" s="442"/>
      <c r="Z84" s="442"/>
      <c r="AA84" s="442"/>
      <c r="AB84" s="442"/>
      <c r="AC84" s="442"/>
      <c r="AD84" s="442"/>
      <c r="AE84" s="442"/>
      <c r="AF84" s="442"/>
      <c r="AG84" s="442"/>
      <c r="AH84" s="442"/>
      <c r="AI84" s="442"/>
      <c r="AJ84" s="442"/>
      <c r="AK84" s="442"/>
      <c r="AL84" s="442"/>
      <c r="AM84" s="442"/>
      <c r="AN84" s="442"/>
      <c r="AO84" s="442"/>
      <c r="AP84" s="442"/>
      <c r="AQ84" s="442"/>
      <c r="AR84" s="442"/>
      <c r="AS84" s="442"/>
      <c r="AT84" s="442"/>
      <c r="AU84" s="442"/>
      <c r="AV84" s="442"/>
      <c r="AW84" s="442"/>
      <c r="AX84" s="442"/>
      <c r="AY84" s="442"/>
      <c r="AZ84" s="442"/>
      <c r="BA84" s="442"/>
      <c r="BK84" s="15"/>
      <c r="BL84" s="29"/>
    </row>
    <row r="85" spans="2:64" ht="15" x14ac:dyDescent="0.25">
      <c r="C85" s="423"/>
      <c r="D85" s="423"/>
      <c r="E85" s="423"/>
      <c r="F85" s="423"/>
      <c r="G85" s="423"/>
      <c r="H85" s="423"/>
      <c r="I85" s="423"/>
      <c r="J85" s="423"/>
      <c r="K85" s="423"/>
      <c r="L85" s="423"/>
      <c r="M85" s="423"/>
      <c r="N85" s="423"/>
      <c r="O85" s="423"/>
      <c r="P85" s="423"/>
      <c r="Q85" s="423"/>
      <c r="R85" s="423"/>
      <c r="S85" s="423"/>
      <c r="T85" s="423"/>
      <c r="U85" s="423"/>
      <c r="V85" s="423"/>
      <c r="W85" s="423"/>
      <c r="X85" s="423"/>
      <c r="Y85" s="423"/>
      <c r="Z85" s="423"/>
      <c r="AA85" s="423"/>
      <c r="AB85" s="423"/>
      <c r="AC85" s="423"/>
      <c r="AD85" s="423"/>
      <c r="AE85" s="423"/>
      <c r="AF85" s="423"/>
      <c r="AG85" s="423"/>
      <c r="AH85" s="423"/>
      <c r="AI85" s="423"/>
      <c r="AJ85" s="423"/>
      <c r="AK85" s="423"/>
      <c r="AL85" s="423"/>
      <c r="AM85" s="423"/>
      <c r="AN85" s="423"/>
      <c r="AO85" s="423"/>
      <c r="AP85" s="423"/>
      <c r="AQ85" s="423"/>
      <c r="AR85" s="423"/>
      <c r="AS85" s="423"/>
      <c r="AT85" s="423"/>
      <c r="AU85" s="423"/>
      <c r="AV85" s="423"/>
      <c r="AW85" s="423"/>
      <c r="AX85" s="423"/>
      <c r="AY85" s="423"/>
      <c r="AZ85" s="423"/>
      <c r="BA85" s="423"/>
      <c r="BK85" s="57"/>
      <c r="BL85" s="57"/>
    </row>
    <row r="86" spans="2:64" ht="15"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K86" s="57"/>
      <c r="BL86" s="57"/>
    </row>
    <row r="87" spans="2:64" ht="15" x14ac:dyDescent="0.25">
      <c r="C87" s="15"/>
      <c r="D87" s="15"/>
      <c r="E87" s="15"/>
      <c r="F87" s="15"/>
      <c r="G87" s="15"/>
      <c r="H87" s="15"/>
      <c r="I87" s="15"/>
      <c r="J87" s="15"/>
      <c r="K87" s="15"/>
      <c r="L87" s="15"/>
      <c r="M87" s="15"/>
      <c r="N87" s="15"/>
      <c r="O87" s="15"/>
      <c r="P87" s="15"/>
      <c r="Q87" s="15"/>
      <c r="R87" s="15"/>
      <c r="S87" s="15"/>
      <c r="T87" s="15"/>
      <c r="U87" s="15"/>
      <c r="V87" s="60"/>
      <c r="W87" s="15"/>
      <c r="X87" s="15"/>
      <c r="Y87" s="15"/>
      <c r="Z87" s="15"/>
      <c r="AA87" s="15"/>
      <c r="AB87" s="15"/>
      <c r="AC87" s="15"/>
      <c r="AD87" s="15"/>
      <c r="AE87" s="15"/>
      <c r="AF87" s="15"/>
      <c r="AG87" s="15"/>
      <c r="AH87" s="15"/>
      <c r="AI87" s="15"/>
      <c r="AJ87" s="15"/>
      <c r="AK87" s="15"/>
      <c r="AL87" s="15"/>
      <c r="AM87" s="15"/>
      <c r="AN87" s="15"/>
      <c r="AO87" s="15"/>
      <c r="AP87" s="60"/>
      <c r="AQ87" s="60"/>
      <c r="AR87" s="60"/>
      <c r="AS87" s="60"/>
      <c r="AT87" s="60"/>
      <c r="AU87" s="60"/>
      <c r="AV87" s="60"/>
      <c r="AW87" s="60"/>
      <c r="AX87" s="60"/>
      <c r="AY87" s="60"/>
      <c r="AZ87" s="60"/>
      <c r="BA87" s="60"/>
      <c r="BK87" s="57"/>
      <c r="BL87" s="57"/>
    </row>
    <row r="88" spans="2:64" x14ac:dyDescent="0.2">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row>
    <row r="90" spans="2:64" x14ac:dyDescent="0.2">
      <c r="C90" s="15"/>
      <c r="D90" s="15"/>
      <c r="E90" s="15"/>
      <c r="F90" s="15"/>
      <c r="G90" s="15"/>
      <c r="H90" s="15"/>
      <c r="I90" s="15"/>
      <c r="J90" s="15"/>
      <c r="K90" s="15"/>
      <c r="L90" s="15"/>
      <c r="M90" s="15"/>
      <c r="N90" s="15"/>
      <c r="O90" s="15"/>
      <c r="P90" s="15"/>
    </row>
    <row r="97" spans="45:59" x14ac:dyDescent="0.2">
      <c r="AS97" s="13"/>
      <c r="AT97" s="13"/>
      <c r="AU97" s="13"/>
      <c r="AV97" s="13"/>
      <c r="AW97" s="13"/>
      <c r="AX97" s="13"/>
      <c r="AY97" s="13"/>
      <c r="AZ97" s="13"/>
      <c r="BA97" s="13"/>
    </row>
    <row r="98" spans="45:59" x14ac:dyDescent="0.2">
      <c r="AS98" s="13"/>
      <c r="AT98" s="13"/>
      <c r="AU98" s="13"/>
      <c r="AV98" s="13"/>
      <c r="AW98" s="13"/>
      <c r="AX98" s="13"/>
      <c r="AY98" s="13"/>
      <c r="AZ98" s="13"/>
      <c r="BA98" s="13"/>
    </row>
    <row r="99" spans="45:59" x14ac:dyDescent="0.2">
      <c r="AS99" s="13"/>
      <c r="AT99" s="13"/>
      <c r="AU99" s="13"/>
      <c r="AV99" s="13"/>
      <c r="AW99" s="13"/>
      <c r="AX99" s="13"/>
      <c r="AY99" s="13"/>
      <c r="AZ99" s="13"/>
      <c r="BA99" s="13"/>
    </row>
    <row r="100" spans="45:59" x14ac:dyDescent="0.2">
      <c r="AS100" s="13"/>
      <c r="AT100" s="13"/>
      <c r="AU100" s="13"/>
      <c r="AV100" s="13"/>
      <c r="AW100" s="13"/>
      <c r="AX100" s="13"/>
      <c r="AY100" s="13"/>
      <c r="AZ100" s="13"/>
      <c r="BA100" s="13"/>
    </row>
    <row r="104" spans="45:59" ht="12.75" hidden="1" customHeight="1" x14ac:dyDescent="0.2"/>
    <row r="105" spans="45:59" ht="12.75" hidden="1" customHeight="1" x14ac:dyDescent="0.2">
      <c r="AS105" s="13"/>
      <c r="AT105" s="13"/>
      <c r="AU105" s="13"/>
      <c r="AV105" s="13"/>
      <c r="AW105" s="13"/>
      <c r="AX105" s="13"/>
      <c r="AY105" s="13"/>
      <c r="AZ105" s="13"/>
      <c r="BA105" s="13"/>
    </row>
    <row r="106" spans="45:59" x14ac:dyDescent="0.2">
      <c r="AS106" s="13"/>
      <c r="AT106" s="13"/>
      <c r="AU106" s="13"/>
      <c r="AV106" s="13"/>
      <c r="AW106" s="13"/>
      <c r="AX106" s="13"/>
      <c r="AY106" s="13"/>
      <c r="AZ106" s="13"/>
      <c r="BA106" s="13"/>
    </row>
    <row r="107" spans="45:59" x14ac:dyDescent="0.2">
      <c r="AS107" s="13"/>
      <c r="AT107" s="13"/>
      <c r="AU107" s="13"/>
      <c r="AV107" s="13"/>
      <c r="AW107" s="13"/>
      <c r="AX107" s="13"/>
      <c r="AY107" s="13"/>
      <c r="AZ107" s="13"/>
      <c r="BA107" s="13"/>
    </row>
    <row r="108" spans="45:59" x14ac:dyDescent="0.2">
      <c r="AS108" s="13"/>
      <c r="AT108" s="13"/>
      <c r="AU108" s="13"/>
      <c r="AV108" s="13"/>
      <c r="AW108" s="13"/>
      <c r="AX108" s="13"/>
      <c r="AY108" s="13"/>
      <c r="AZ108" s="13"/>
      <c r="BA108" s="13"/>
    </row>
    <row r="109" spans="45:59" x14ac:dyDescent="0.2">
      <c r="AS109" s="13"/>
      <c r="AT109" s="13"/>
      <c r="AU109" s="13"/>
      <c r="AV109" s="13"/>
      <c r="AW109" s="13"/>
      <c r="AX109" s="13"/>
      <c r="AY109" s="13"/>
      <c r="AZ109" s="13"/>
      <c r="BA109" s="13"/>
      <c r="BB109" s="13"/>
      <c r="BC109" s="13"/>
      <c r="BD109" s="13"/>
      <c r="BE109" s="13"/>
      <c r="BF109" s="13"/>
      <c r="BG109" s="13"/>
    </row>
    <row r="111" spans="45:59" ht="12.75" hidden="1" customHeight="1" x14ac:dyDescent="0.2"/>
  </sheetData>
  <sheetProtection algorithmName="SHA-512" hashValue="uMrxJojuXbUKYWrMTbngxcr9I05gYsyGk5OqAwCkgycb8v1Au7kFzpHyy9rSA94RZlnvpi/oK+YNOJf22jqG8A==" saltValue="nhH3q2gBlFZMXK5MbKwpzQ==" spinCount="100000" sheet="1" objects="1" scenarios="1" formatCells="0" formatRows="0" selectLockedCells="1" autoFilter="0"/>
  <mergeCells count="296">
    <mergeCell ref="AL30:AN30"/>
    <mergeCell ref="AO30:AQ30"/>
    <mergeCell ref="AR30:AT30"/>
    <mergeCell ref="AU30:AW30"/>
    <mergeCell ref="AX30:BA30"/>
    <mergeCell ref="C38:E38"/>
    <mergeCell ref="AV38:BA38"/>
    <mergeCell ref="X37:AC37"/>
    <mergeCell ref="AD37:AI37"/>
    <mergeCell ref="AO32:AQ32"/>
    <mergeCell ref="R38:T38"/>
    <mergeCell ref="U38:W38"/>
    <mergeCell ref="AJ38:AO38"/>
    <mergeCell ref="AP38:AU38"/>
    <mergeCell ref="R39:T39"/>
    <mergeCell ref="U39:W39"/>
    <mergeCell ref="X39:AC39"/>
    <mergeCell ref="AD39:AI39"/>
    <mergeCell ref="C30:E30"/>
    <mergeCell ref="F30:P30"/>
    <mergeCell ref="Q30:S30"/>
    <mergeCell ref="T30:V30"/>
    <mergeCell ref="W30:Y30"/>
    <mergeCell ref="Z30:AB30"/>
    <mergeCell ref="AC30:AE30"/>
    <mergeCell ref="AF30:AH30"/>
    <mergeCell ref="AI30:AK30"/>
    <mergeCell ref="Q32:S32"/>
    <mergeCell ref="T32:V32"/>
    <mergeCell ref="W32:Y32"/>
    <mergeCell ref="Z32:AB32"/>
    <mergeCell ref="AC32:AE32"/>
    <mergeCell ref="AF32:AH32"/>
    <mergeCell ref="AI32:AK32"/>
    <mergeCell ref="AD38:AI38"/>
    <mergeCell ref="AC49:AG49"/>
    <mergeCell ref="C49:E49"/>
    <mergeCell ref="C51:E51"/>
    <mergeCell ref="C53:E53"/>
    <mergeCell ref="F49:H49"/>
    <mergeCell ref="F52:H52"/>
    <mergeCell ref="C50:E50"/>
    <mergeCell ref="C52:E52"/>
    <mergeCell ref="F50:H50"/>
    <mergeCell ref="F51:H51"/>
    <mergeCell ref="F53:H53"/>
    <mergeCell ref="AC53:AG53"/>
    <mergeCell ref="C84:BA84"/>
    <mergeCell ref="L38:N38"/>
    <mergeCell ref="O38:Q38"/>
    <mergeCell ref="F38:H38"/>
    <mergeCell ref="I38:K38"/>
    <mergeCell ref="T79:W79"/>
    <mergeCell ref="T80:W80"/>
    <mergeCell ref="AC55:AL55"/>
    <mergeCell ref="AI50:AL50"/>
    <mergeCell ref="AI51:AL51"/>
    <mergeCell ref="AI52:AL52"/>
    <mergeCell ref="AI53:AL53"/>
    <mergeCell ref="C54:E54"/>
    <mergeCell ref="F54:H54"/>
    <mergeCell ref="I50:R54"/>
    <mergeCell ref="T71:W71"/>
    <mergeCell ref="T72:W72"/>
    <mergeCell ref="T73:W73"/>
    <mergeCell ref="C71:S71"/>
    <mergeCell ref="C72:S72"/>
    <mergeCell ref="C73:S73"/>
    <mergeCell ref="AI58:AL58"/>
    <mergeCell ref="AM50:BA55"/>
    <mergeCell ref="AH54:AL54"/>
    <mergeCell ref="AH49:AL49"/>
    <mergeCell ref="AM49:BA49"/>
    <mergeCell ref="AC50:AG50"/>
    <mergeCell ref="AC51:AG51"/>
    <mergeCell ref="AC52:AG52"/>
    <mergeCell ref="I49:R49"/>
    <mergeCell ref="S49:AB49"/>
    <mergeCell ref="C75:S75"/>
    <mergeCell ref="C76:S76"/>
    <mergeCell ref="S50:AB54"/>
    <mergeCell ref="C55:AB55"/>
    <mergeCell ref="AI59:AL59"/>
    <mergeCell ref="AI60:AL60"/>
    <mergeCell ref="AI61:AL61"/>
    <mergeCell ref="C69:S69"/>
    <mergeCell ref="C70:S70"/>
    <mergeCell ref="Y70:BA82"/>
    <mergeCell ref="Y69:BA69"/>
    <mergeCell ref="T74:W74"/>
    <mergeCell ref="T75:W75"/>
    <mergeCell ref="T76:W76"/>
    <mergeCell ref="T77:W77"/>
    <mergeCell ref="T78:W78"/>
    <mergeCell ref="T69:X69"/>
    <mergeCell ref="C80:S80"/>
    <mergeCell ref="C79:S79"/>
    <mergeCell ref="C81:S81"/>
    <mergeCell ref="C82:S82"/>
    <mergeCell ref="AM57:BA57"/>
    <mergeCell ref="AM58:BA63"/>
    <mergeCell ref="AC63:AL63"/>
    <mergeCell ref="C62:L63"/>
    <mergeCell ref="AC57:AG57"/>
    <mergeCell ref="AC58:AG58"/>
    <mergeCell ref="T70:W70"/>
    <mergeCell ref="C77:S77"/>
    <mergeCell ref="C74:S74"/>
    <mergeCell ref="T82:W82"/>
    <mergeCell ref="AC62:AG62"/>
    <mergeCell ref="AH62:AL62"/>
    <mergeCell ref="T81:W81"/>
    <mergeCell ref="AX32:BA32"/>
    <mergeCell ref="C32:P32"/>
    <mergeCell ref="AL32:AN32"/>
    <mergeCell ref="X36:AI36"/>
    <mergeCell ref="AC48:BA48"/>
    <mergeCell ref="AV43:BA43"/>
    <mergeCell ref="C1:BA1"/>
    <mergeCell ref="Q16:BA16"/>
    <mergeCell ref="Q23:BA23"/>
    <mergeCell ref="AJ41:AO41"/>
    <mergeCell ref="AP41:AU41"/>
    <mergeCell ref="AV41:BA41"/>
    <mergeCell ref="C41:E41"/>
    <mergeCell ref="F41:H41"/>
    <mergeCell ref="I41:K41"/>
    <mergeCell ref="L41:N41"/>
    <mergeCell ref="O41:Q41"/>
    <mergeCell ref="R41:T41"/>
    <mergeCell ref="U41:W41"/>
    <mergeCell ref="X41:AC41"/>
    <mergeCell ref="AD41:AI41"/>
    <mergeCell ref="I39:K39"/>
    <mergeCell ref="L39:N39"/>
    <mergeCell ref="O39:Q39"/>
    <mergeCell ref="C83:BA83"/>
    <mergeCell ref="C64:BA64"/>
    <mergeCell ref="C85:BA85"/>
    <mergeCell ref="C66:P66"/>
    <mergeCell ref="C67:BA67"/>
    <mergeCell ref="C68:BA68"/>
    <mergeCell ref="C57:G57"/>
    <mergeCell ref="H57:L57"/>
    <mergeCell ref="C58:G58"/>
    <mergeCell ref="C59:G59"/>
    <mergeCell ref="C60:G60"/>
    <mergeCell ref="C61:G61"/>
    <mergeCell ref="H61:L61"/>
    <mergeCell ref="M57:AB57"/>
    <mergeCell ref="I58:L58"/>
    <mergeCell ref="I59:L59"/>
    <mergeCell ref="I60:L60"/>
    <mergeCell ref="M58:AB63"/>
    <mergeCell ref="AC59:AG59"/>
    <mergeCell ref="AC60:AG60"/>
    <mergeCell ref="AC61:AG61"/>
    <mergeCell ref="AH57:AL57"/>
    <mergeCell ref="Q66:BA66"/>
    <mergeCell ref="C78:S78"/>
    <mergeCell ref="AC56:BA56"/>
    <mergeCell ref="C2:BA5"/>
    <mergeCell ref="P6:BA6"/>
    <mergeCell ref="C24:BA24"/>
    <mergeCell ref="C45:P45"/>
    <mergeCell ref="C47:BA47"/>
    <mergeCell ref="C46:BA46"/>
    <mergeCell ref="C48:AB48"/>
    <mergeCell ref="AO25:BA25"/>
    <mergeCell ref="C14:Q14"/>
    <mergeCell ref="R14:BA14"/>
    <mergeCell ref="C16:P16"/>
    <mergeCell ref="C18:BA21"/>
    <mergeCell ref="C17:BA17"/>
    <mergeCell ref="Q26:S26"/>
    <mergeCell ref="T26:V26"/>
    <mergeCell ref="W26:Y26"/>
    <mergeCell ref="Z26:AB26"/>
    <mergeCell ref="AC26:AE26"/>
    <mergeCell ref="AF26:AH26"/>
    <mergeCell ref="C23:P23"/>
    <mergeCell ref="Q25:AB25"/>
    <mergeCell ref="AC25:AN25"/>
    <mergeCell ref="AC54:AG54"/>
    <mergeCell ref="F25:P26"/>
    <mergeCell ref="C25:E26"/>
    <mergeCell ref="C27:E27"/>
    <mergeCell ref="F27:P27"/>
    <mergeCell ref="Q27:S27"/>
    <mergeCell ref="T27:V27"/>
    <mergeCell ref="W27:Y27"/>
    <mergeCell ref="Z27:AB27"/>
    <mergeCell ref="C56:AB56"/>
    <mergeCell ref="C31:BA31"/>
    <mergeCell ref="C34:P34"/>
    <mergeCell ref="C35:BA35"/>
    <mergeCell ref="C36:E37"/>
    <mergeCell ref="F36:N36"/>
    <mergeCell ref="O36:W36"/>
    <mergeCell ref="AJ36:AO37"/>
    <mergeCell ref="AP36:AU37"/>
    <mergeCell ref="AV36:BA37"/>
    <mergeCell ref="F37:H37"/>
    <mergeCell ref="I37:K37"/>
    <mergeCell ref="L37:N37"/>
    <mergeCell ref="O37:Q37"/>
    <mergeCell ref="R37:T37"/>
    <mergeCell ref="U37:W37"/>
    <mergeCell ref="C6:O6"/>
    <mergeCell ref="C8:Q8"/>
    <mergeCell ref="R8:BA8"/>
    <mergeCell ref="C7:BA7"/>
    <mergeCell ref="C13:Q13"/>
    <mergeCell ref="R13:BA13"/>
    <mergeCell ref="C12:Q12"/>
    <mergeCell ref="R12:BA12"/>
    <mergeCell ref="C9:Q9"/>
    <mergeCell ref="R9:BA9"/>
    <mergeCell ref="C10:Q10"/>
    <mergeCell ref="R10:BA10"/>
    <mergeCell ref="C11:Q11"/>
    <mergeCell ref="R11:BA11"/>
    <mergeCell ref="AU26:AW26"/>
    <mergeCell ref="AX26:BA26"/>
    <mergeCell ref="AC27:AE27"/>
    <mergeCell ref="AF27:AH27"/>
    <mergeCell ref="AI27:AK27"/>
    <mergeCell ref="AL27:AN27"/>
    <mergeCell ref="AO27:AQ27"/>
    <mergeCell ref="AR27:AT27"/>
    <mergeCell ref="AU27:AW27"/>
    <mergeCell ref="AX27:BA27"/>
    <mergeCell ref="AO26:AQ26"/>
    <mergeCell ref="AR26:AT26"/>
    <mergeCell ref="AI26:AK26"/>
    <mergeCell ref="AL26:AN26"/>
    <mergeCell ref="C42:BA42"/>
    <mergeCell ref="C43:E43"/>
    <mergeCell ref="F43:H43"/>
    <mergeCell ref="I43:K43"/>
    <mergeCell ref="L43:N43"/>
    <mergeCell ref="O43:Q43"/>
    <mergeCell ref="R43:T43"/>
    <mergeCell ref="U43:W43"/>
    <mergeCell ref="X43:AC43"/>
    <mergeCell ref="AD43:AI43"/>
    <mergeCell ref="AJ43:AO43"/>
    <mergeCell ref="AP43:AU43"/>
    <mergeCell ref="AL28:AN28"/>
    <mergeCell ref="AO28:AQ28"/>
    <mergeCell ref="AR28:AT28"/>
    <mergeCell ref="AU28:AW28"/>
    <mergeCell ref="AX28:BA28"/>
    <mergeCell ref="C29:E29"/>
    <mergeCell ref="F29:P29"/>
    <mergeCell ref="Q29:S29"/>
    <mergeCell ref="T29:V29"/>
    <mergeCell ref="W29:Y29"/>
    <mergeCell ref="Z29:AB29"/>
    <mergeCell ref="AC29:AE29"/>
    <mergeCell ref="C28:E28"/>
    <mergeCell ref="F28:P28"/>
    <mergeCell ref="Q28:S28"/>
    <mergeCell ref="T28:V28"/>
    <mergeCell ref="W28:Y28"/>
    <mergeCell ref="Z28:AB28"/>
    <mergeCell ref="AC28:AE28"/>
    <mergeCell ref="AF28:AH28"/>
    <mergeCell ref="AI28:AK28"/>
    <mergeCell ref="AF29:AH29"/>
    <mergeCell ref="AI29:AK29"/>
    <mergeCell ref="AL29:AN29"/>
    <mergeCell ref="AO29:AQ29"/>
    <mergeCell ref="AR29:AT29"/>
    <mergeCell ref="AU29:AW29"/>
    <mergeCell ref="AX29:BA29"/>
    <mergeCell ref="C40:E40"/>
    <mergeCell ref="F40:H40"/>
    <mergeCell ref="I40:K40"/>
    <mergeCell ref="L40:N40"/>
    <mergeCell ref="O40:Q40"/>
    <mergeCell ref="R40:T40"/>
    <mergeCell ref="U40:W40"/>
    <mergeCell ref="X40:AC40"/>
    <mergeCell ref="AD40:AI40"/>
    <mergeCell ref="AJ40:AO40"/>
    <mergeCell ref="AP40:AU40"/>
    <mergeCell ref="AV40:BA40"/>
    <mergeCell ref="AJ39:AO39"/>
    <mergeCell ref="AP39:AU39"/>
    <mergeCell ref="AV39:BA39"/>
    <mergeCell ref="C39:E39"/>
    <mergeCell ref="F39:H39"/>
    <mergeCell ref="X38:AC38"/>
    <mergeCell ref="AR32:AT32"/>
    <mergeCell ref="AU32:AW32"/>
  </mergeCells>
  <conditionalFormatting sqref="S50:AB54">
    <cfRule type="cellIs" dxfId="5" priority="4" operator="lessThanOrEqual">
      <formula>0.2</formula>
    </cfRule>
    <cfRule type="cellIs" dxfId="4" priority="6" operator="between">
      <formula>0.21</formula>
      <formula>0.49</formula>
    </cfRule>
    <cfRule type="cellIs" dxfId="3" priority="7" operator="greaterThanOrEqual">
      <formula>0.5</formula>
    </cfRule>
  </conditionalFormatting>
  <conditionalFormatting sqref="I50:R54">
    <cfRule type="cellIs" dxfId="2" priority="1" operator="lessThanOrEqual">
      <formula>0.2</formula>
    </cfRule>
    <cfRule type="cellIs" dxfId="1" priority="2" operator="between">
      <formula>0.21</formula>
      <formula>0.49</formula>
    </cfRule>
    <cfRule type="cellIs" dxfId="0" priority="3" operator="greaterThanOrEqual">
      <formula>0.5</formula>
    </cfRule>
  </conditionalFormatting>
  <pageMargins left="0.23622047244094491" right="0.23622047244094491" top="0.74803149606299213" bottom="0.74803149606299213" header="0.31496062992125984" footer="0.31496062992125984"/>
  <pageSetup scale="73" fitToHeight="0" orientation="portrait" r:id="rId1"/>
  <drawing r:id="rId2"/>
  <legacyDrawing r:id="rId3"/>
  <controls>
    <mc:AlternateContent xmlns:mc="http://schemas.openxmlformats.org/markup-compatibility/2006">
      <mc:Choice Requires="x14">
        <control shapeId="7172" r:id="rId4" name="btnReportDiario">
          <controlPr defaultSize="0" print="0" autoLine="0" r:id="rId5">
            <anchor moveWithCells="1">
              <from>
                <xdr:col>53</xdr:col>
                <xdr:colOff>171450</xdr:colOff>
                <xdr:row>1</xdr:row>
                <xdr:rowOff>76200</xdr:rowOff>
              </from>
              <to>
                <xdr:col>63</xdr:col>
                <xdr:colOff>142875</xdr:colOff>
                <xdr:row>4</xdr:row>
                <xdr:rowOff>104775</xdr:rowOff>
              </to>
            </anchor>
          </controlPr>
        </control>
      </mc:Choice>
      <mc:Fallback>
        <control shapeId="7172" r:id="rId4" name="btnReportDiario"/>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9" tint="-0.499984740745262"/>
    <pageSetUpPr fitToPage="1"/>
  </sheetPr>
  <dimension ref="A1:BJ69"/>
  <sheetViews>
    <sheetView showGridLines="0" tabSelected="1" topLeftCell="A2" workbookViewId="0">
      <selection activeCell="R20" sqref="R20:BA20"/>
    </sheetView>
  </sheetViews>
  <sheetFormatPr baseColWidth="10" defaultColWidth="2.7109375" defaultRowHeight="12.75" x14ac:dyDescent="0.2"/>
  <cols>
    <col min="1" max="1" width="1.42578125" style="1" customWidth="1"/>
    <col min="2" max="2" width="1.7109375" style="1" customWidth="1"/>
    <col min="3" max="57" width="2.7109375" style="1"/>
    <col min="58" max="58" width="3.28515625" style="1" customWidth="1"/>
    <col min="59" max="59" width="2.7109375" style="1" customWidth="1"/>
    <col min="60" max="16384" width="2.7109375" style="1"/>
  </cols>
  <sheetData>
    <row r="1" spans="3:62" x14ac:dyDescent="0.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3:62" s="11" customFormat="1" x14ac:dyDescent="0.2">
      <c r="C2" s="230" t="s">
        <v>110</v>
      </c>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K2" s="231"/>
      <c r="AL2" s="231"/>
      <c r="AM2" s="231"/>
      <c r="AN2" s="231"/>
      <c r="AO2" s="231"/>
      <c r="AP2" s="231"/>
      <c r="AQ2" s="231"/>
      <c r="AR2" s="231"/>
      <c r="AS2" s="231"/>
      <c r="AT2" s="231"/>
      <c r="AU2" s="231"/>
      <c r="AV2" s="231"/>
      <c r="AW2" s="231"/>
      <c r="AX2" s="231"/>
      <c r="AY2" s="231"/>
      <c r="AZ2" s="231"/>
      <c r="BA2" s="231"/>
    </row>
    <row r="3" spans="3:62" s="11" customFormat="1" x14ac:dyDescent="0.2">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row>
    <row r="4" spans="3:62" s="11" customFormat="1" x14ac:dyDescent="0.2">
      <c r="C4" s="231"/>
      <c r="D4" s="231"/>
      <c r="E4" s="231"/>
      <c r="F4" s="231"/>
      <c r="G4" s="231"/>
      <c r="H4" s="231"/>
      <c r="I4" s="231"/>
      <c r="J4" s="231"/>
      <c r="K4" s="231"/>
      <c r="L4" s="231"/>
      <c r="M4" s="231"/>
      <c r="N4" s="231"/>
      <c r="O4" s="231"/>
      <c r="P4" s="231"/>
      <c r="Q4" s="231"/>
      <c r="R4" s="231"/>
      <c r="S4" s="231"/>
      <c r="T4" s="231"/>
      <c r="U4" s="231"/>
      <c r="V4" s="231"/>
      <c r="W4" s="231"/>
      <c r="X4" s="231"/>
      <c r="Y4" s="231"/>
      <c r="Z4" s="231"/>
      <c r="AA4" s="231"/>
      <c r="AB4" s="231"/>
      <c r="AC4" s="231"/>
      <c r="AD4" s="231"/>
      <c r="AE4" s="231"/>
      <c r="AF4" s="231"/>
      <c r="AG4" s="231"/>
      <c r="AH4" s="231"/>
      <c r="AI4" s="231"/>
      <c r="AJ4" s="231"/>
      <c r="AK4" s="231"/>
      <c r="AL4" s="231"/>
      <c r="AM4" s="231"/>
      <c r="AN4" s="231"/>
      <c r="AO4" s="231"/>
      <c r="AP4" s="231"/>
      <c r="AQ4" s="231"/>
      <c r="AR4" s="231"/>
      <c r="AS4" s="231"/>
      <c r="AT4" s="231"/>
      <c r="AU4" s="231"/>
      <c r="AV4" s="231"/>
      <c r="AW4" s="231"/>
      <c r="AX4" s="231"/>
      <c r="AY4" s="231"/>
      <c r="AZ4" s="231"/>
      <c r="BA4" s="231"/>
    </row>
    <row r="5" spans="3:62" s="11" customFormat="1" x14ac:dyDescent="0.2">
      <c r="C5" s="231"/>
      <c r="D5" s="231"/>
      <c r="E5" s="231"/>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1"/>
      <c r="AI5" s="231"/>
      <c r="AJ5" s="231"/>
      <c r="AK5" s="231"/>
      <c r="AL5" s="231"/>
      <c r="AM5" s="231"/>
      <c r="AN5" s="231"/>
      <c r="AO5" s="231"/>
      <c r="AP5" s="231"/>
      <c r="AQ5" s="231"/>
      <c r="AR5" s="231"/>
      <c r="AS5" s="231"/>
      <c r="AT5" s="231"/>
      <c r="AU5" s="231"/>
      <c r="AV5" s="231"/>
      <c r="AW5" s="231"/>
      <c r="AX5" s="231"/>
      <c r="AY5" s="231"/>
      <c r="AZ5" s="231"/>
      <c r="BA5" s="231"/>
    </row>
    <row r="6" spans="3:62" s="11" customFormat="1" ht="14.25" x14ac:dyDescent="0.25">
      <c r="C6" s="237" t="s">
        <v>28</v>
      </c>
      <c r="D6" s="237"/>
      <c r="E6" s="237"/>
      <c r="F6" s="237"/>
      <c r="G6" s="237"/>
      <c r="H6" s="237"/>
      <c r="I6" s="237"/>
      <c r="J6" s="237"/>
      <c r="K6" s="237"/>
      <c r="L6" s="237"/>
      <c r="M6" s="237"/>
      <c r="N6" s="237"/>
      <c r="O6" s="237"/>
      <c r="P6" s="448"/>
      <c r="Q6" s="449"/>
      <c r="R6" s="449"/>
      <c r="S6" s="449"/>
      <c r="T6" s="449"/>
      <c r="U6" s="449"/>
      <c r="V6" s="449"/>
      <c r="W6" s="449"/>
      <c r="X6" s="449"/>
      <c r="Y6" s="449"/>
      <c r="Z6" s="449"/>
      <c r="AA6" s="449"/>
      <c r="AB6" s="449"/>
      <c r="AC6" s="449"/>
      <c r="AD6" s="449"/>
      <c r="AE6" s="449"/>
      <c r="AF6" s="449"/>
      <c r="AG6" s="449"/>
      <c r="AH6" s="449"/>
      <c r="AI6" s="449"/>
      <c r="AJ6" s="449"/>
      <c r="AK6" s="449"/>
      <c r="AL6" s="449"/>
      <c r="AM6" s="449"/>
      <c r="AN6" s="449"/>
      <c r="AO6" s="449"/>
      <c r="AP6" s="449"/>
      <c r="AQ6" s="449"/>
      <c r="AR6" s="449"/>
      <c r="AS6" s="449"/>
      <c r="AT6" s="449"/>
      <c r="AU6" s="449"/>
      <c r="AV6" s="449"/>
      <c r="AW6" s="449"/>
      <c r="AX6" s="449"/>
      <c r="AY6" s="449"/>
      <c r="AZ6" s="449"/>
      <c r="BA6" s="449"/>
    </row>
    <row r="7" spans="3:62" ht="14.25" x14ac:dyDescent="0.2">
      <c r="C7" s="450"/>
      <c r="D7" s="450"/>
      <c r="E7" s="450"/>
      <c r="F7" s="450"/>
      <c r="G7" s="450"/>
      <c r="H7" s="450"/>
      <c r="I7" s="450"/>
      <c r="J7" s="450"/>
      <c r="K7" s="450"/>
      <c r="L7" s="450"/>
      <c r="M7" s="450"/>
      <c r="N7" s="450"/>
      <c r="O7" s="450"/>
      <c r="P7" s="450"/>
      <c r="Q7" s="450"/>
      <c r="R7" s="450"/>
      <c r="S7" s="450"/>
      <c r="T7" s="450"/>
      <c r="U7" s="450"/>
      <c r="V7" s="450"/>
      <c r="W7" s="450"/>
      <c r="X7" s="450"/>
      <c r="Y7" s="450"/>
      <c r="Z7" s="450"/>
      <c r="AA7" s="450"/>
      <c r="AB7" s="450"/>
      <c r="AC7" s="450"/>
      <c r="AD7" s="450"/>
      <c r="AE7" s="450"/>
      <c r="AF7" s="450"/>
      <c r="AG7" s="450"/>
      <c r="AH7" s="450"/>
      <c r="AI7" s="450"/>
      <c r="AJ7" s="450"/>
      <c r="AK7" s="450"/>
      <c r="AL7" s="450"/>
      <c r="AM7" s="450"/>
      <c r="AN7" s="450"/>
      <c r="AO7" s="450"/>
      <c r="AP7" s="450"/>
      <c r="AQ7" s="450"/>
      <c r="AR7" s="450"/>
      <c r="AS7" s="450"/>
      <c r="AT7" s="450"/>
      <c r="AU7" s="450"/>
      <c r="AV7" s="450"/>
      <c r="AW7" s="450"/>
      <c r="AX7" s="450"/>
      <c r="AY7" s="450"/>
      <c r="AZ7" s="450"/>
      <c r="BA7" s="450"/>
    </row>
    <row r="8" spans="3:62" ht="14.25" x14ac:dyDescent="0.25">
      <c r="C8" s="240" t="s">
        <v>283</v>
      </c>
      <c r="D8" s="240"/>
      <c r="E8" s="240"/>
      <c r="F8" s="240"/>
      <c r="G8" s="240"/>
      <c r="H8" s="240"/>
      <c r="I8" s="240"/>
      <c r="J8" s="240"/>
      <c r="K8" s="240"/>
      <c r="L8" s="240"/>
      <c r="M8" s="240"/>
      <c r="N8" s="240"/>
      <c r="O8" s="240"/>
      <c r="P8" s="240"/>
      <c r="Q8" s="240"/>
      <c r="R8" s="241" t="str">
        <f>'Info General'!R4:BA4</f>
        <v>Prueba Técnica DevCo Ingeniero de pruebas</v>
      </c>
      <c r="S8" s="241"/>
      <c r="T8" s="241"/>
      <c r="U8" s="241"/>
      <c r="V8" s="241"/>
      <c r="W8" s="241"/>
      <c r="X8" s="241"/>
      <c r="Y8" s="241"/>
      <c r="Z8" s="241"/>
      <c r="AA8" s="241"/>
      <c r="AB8" s="241"/>
      <c r="AC8" s="241"/>
      <c r="AD8" s="241"/>
      <c r="AE8" s="241"/>
      <c r="AF8" s="241"/>
      <c r="AG8" s="241"/>
      <c r="AH8" s="241"/>
      <c r="AI8" s="241"/>
      <c r="AJ8" s="241"/>
      <c r="AK8" s="241"/>
      <c r="AL8" s="241"/>
      <c r="AM8" s="241"/>
      <c r="AN8" s="241"/>
      <c r="AO8" s="241"/>
      <c r="AP8" s="241"/>
      <c r="AQ8" s="241"/>
      <c r="AR8" s="241"/>
      <c r="AS8" s="241"/>
      <c r="AT8" s="241"/>
      <c r="AU8" s="241"/>
      <c r="AV8" s="241"/>
      <c r="AW8" s="241"/>
      <c r="AX8" s="241"/>
      <c r="AY8" s="241"/>
      <c r="AZ8" s="241"/>
      <c r="BA8" s="241"/>
    </row>
    <row r="9" spans="3:62" ht="14.25" x14ac:dyDescent="0.25">
      <c r="C9" s="240" t="s">
        <v>33</v>
      </c>
      <c r="D9" s="240"/>
      <c r="E9" s="240"/>
      <c r="F9" s="240"/>
      <c r="G9" s="240"/>
      <c r="H9" s="240"/>
      <c r="I9" s="240"/>
      <c r="J9" s="240"/>
      <c r="K9" s="240"/>
      <c r="L9" s="240"/>
      <c r="M9" s="240"/>
      <c r="N9" s="240"/>
      <c r="O9" s="240"/>
      <c r="P9" s="240"/>
      <c r="Q9" s="240"/>
      <c r="R9" s="241" t="str">
        <f>'Info General'!R5:BA5</f>
        <v>Travelocity</v>
      </c>
      <c r="S9" s="241"/>
      <c r="T9" s="241"/>
      <c r="U9" s="241"/>
      <c r="V9" s="241"/>
      <c r="W9" s="241"/>
      <c r="X9" s="241"/>
      <c r="Y9" s="241"/>
      <c r="Z9" s="241"/>
      <c r="AA9" s="241"/>
      <c r="AB9" s="241"/>
      <c r="AC9" s="241"/>
      <c r="AD9" s="241"/>
      <c r="AE9" s="241"/>
      <c r="AF9" s="241"/>
      <c r="AG9" s="241"/>
      <c r="AH9" s="241"/>
      <c r="AI9" s="241"/>
      <c r="AJ9" s="241"/>
      <c r="AK9" s="241"/>
      <c r="AL9" s="241"/>
      <c r="AM9" s="241"/>
      <c r="AN9" s="241"/>
      <c r="AO9" s="241"/>
      <c r="AP9" s="241"/>
      <c r="AQ9" s="241"/>
      <c r="AR9" s="241"/>
      <c r="AS9" s="241"/>
      <c r="AT9" s="241"/>
      <c r="AU9" s="241"/>
      <c r="AV9" s="241"/>
      <c r="AW9" s="241"/>
      <c r="AX9" s="241"/>
      <c r="AY9" s="241"/>
      <c r="AZ9" s="241"/>
      <c r="BA9" s="241"/>
      <c r="BB9" s="4"/>
      <c r="BC9" s="4"/>
      <c r="BD9" s="4"/>
      <c r="BE9" s="4"/>
      <c r="BF9" s="4"/>
      <c r="BG9" s="4"/>
      <c r="BH9" s="4"/>
      <c r="BI9" s="4"/>
      <c r="BJ9" s="4"/>
    </row>
    <row r="10" spans="3:62" ht="14.25" x14ac:dyDescent="0.25">
      <c r="C10" s="240" t="s">
        <v>193</v>
      </c>
      <c r="D10" s="240"/>
      <c r="E10" s="240"/>
      <c r="F10" s="240"/>
      <c r="G10" s="240"/>
      <c r="H10" s="240"/>
      <c r="I10" s="240"/>
      <c r="J10" s="240"/>
      <c r="K10" s="240"/>
      <c r="L10" s="240"/>
      <c r="M10" s="240"/>
      <c r="N10" s="240"/>
      <c r="O10" s="240"/>
      <c r="P10" s="240"/>
      <c r="Q10" s="240"/>
      <c r="R10" s="241" t="str">
        <f>'Info General'!R6:BA6</f>
        <v>Generar diferentes tipos de reservas como hoteles, vuelos, alquiler de vehículos, paquetes y actividades turisticas, de acuerdo a la necesidad de cada cliente</v>
      </c>
      <c r="S10" s="241"/>
      <c r="T10" s="241"/>
      <c r="U10" s="241"/>
      <c r="V10" s="241"/>
      <c r="W10" s="241"/>
      <c r="X10" s="241"/>
      <c r="Y10" s="241"/>
      <c r="Z10" s="241"/>
      <c r="AA10" s="241"/>
      <c r="AB10" s="241"/>
      <c r="AC10" s="241"/>
      <c r="AD10" s="241"/>
      <c r="AE10" s="241"/>
      <c r="AF10" s="241"/>
      <c r="AG10" s="241"/>
      <c r="AH10" s="241"/>
      <c r="AI10" s="241"/>
      <c r="AJ10" s="241"/>
      <c r="AK10" s="241"/>
      <c r="AL10" s="241"/>
      <c r="AM10" s="241"/>
      <c r="AN10" s="241"/>
      <c r="AO10" s="241"/>
      <c r="AP10" s="241"/>
      <c r="AQ10" s="241"/>
      <c r="AR10" s="241"/>
      <c r="AS10" s="241"/>
      <c r="AT10" s="241"/>
      <c r="AU10" s="241"/>
      <c r="AV10" s="241"/>
      <c r="AW10" s="241"/>
      <c r="AX10" s="241"/>
      <c r="AY10" s="241"/>
      <c r="AZ10" s="241"/>
      <c r="BA10" s="241"/>
      <c r="BB10" s="4"/>
      <c r="BC10" s="4"/>
      <c r="BD10" s="4"/>
      <c r="BE10" s="4"/>
      <c r="BF10" s="4"/>
      <c r="BG10" s="4"/>
      <c r="BH10" s="4"/>
      <c r="BI10" s="4"/>
      <c r="BJ10" s="4"/>
    </row>
    <row r="11" spans="3:62" ht="14.25" x14ac:dyDescent="0.25">
      <c r="C11" s="240" t="s">
        <v>192</v>
      </c>
      <c r="D11" s="240"/>
      <c r="E11" s="240"/>
      <c r="F11" s="240"/>
      <c r="G11" s="240"/>
      <c r="H11" s="240"/>
      <c r="I11" s="240"/>
      <c r="J11" s="240"/>
      <c r="K11" s="240"/>
      <c r="L11" s="240"/>
      <c r="M11" s="240"/>
      <c r="N11" s="240"/>
      <c r="O11" s="240"/>
      <c r="P11" s="240"/>
      <c r="Q11" s="240"/>
      <c r="R11" s="241" t="str">
        <f>'Info General'!R7:BA7</f>
        <v>Desconocida</v>
      </c>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4"/>
      <c r="BC11" s="4"/>
      <c r="BD11" s="4"/>
      <c r="BE11" s="4"/>
      <c r="BF11" s="4"/>
      <c r="BG11" s="4"/>
      <c r="BH11" s="4"/>
      <c r="BI11" s="4"/>
      <c r="BJ11" s="4"/>
    </row>
    <row r="12" spans="3:62" ht="14.25" x14ac:dyDescent="0.25">
      <c r="C12" s="240" t="s">
        <v>51</v>
      </c>
      <c r="D12" s="240"/>
      <c r="E12" s="240"/>
      <c r="F12" s="240"/>
      <c r="G12" s="240"/>
      <c r="H12" s="240"/>
      <c r="I12" s="240"/>
      <c r="J12" s="240"/>
      <c r="K12" s="240"/>
      <c r="L12" s="240"/>
      <c r="M12" s="240"/>
      <c r="N12" s="240"/>
      <c r="O12" s="240"/>
      <c r="P12" s="240"/>
      <c r="Q12" s="240"/>
      <c r="R12" s="241" t="str">
        <f>'Info General'!R8:BA8</f>
        <v>Web</v>
      </c>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4"/>
      <c r="BC12" s="4"/>
      <c r="BD12" s="4"/>
      <c r="BE12" s="4"/>
      <c r="BF12" s="4"/>
      <c r="BG12" s="4"/>
      <c r="BH12" s="4"/>
      <c r="BI12" s="4"/>
      <c r="BJ12" s="4"/>
    </row>
    <row r="13" spans="3:62" ht="14.25" x14ac:dyDescent="0.25">
      <c r="C13" s="240" t="s">
        <v>34</v>
      </c>
      <c r="D13" s="240"/>
      <c r="E13" s="240"/>
      <c r="F13" s="240"/>
      <c r="G13" s="240"/>
      <c r="H13" s="240"/>
      <c r="I13" s="240"/>
      <c r="J13" s="240"/>
      <c r="K13" s="240"/>
      <c r="L13" s="240"/>
      <c r="M13" s="240"/>
      <c r="N13" s="240"/>
      <c r="O13" s="240"/>
      <c r="P13" s="240"/>
      <c r="Q13" s="240"/>
      <c r="R13" s="241" t="str">
        <f>'Info General'!R9:BA9</f>
        <v>Devco</v>
      </c>
      <c r="S13" s="241"/>
      <c r="T13" s="241"/>
      <c r="U13" s="241"/>
      <c r="V13" s="241"/>
      <c r="W13" s="241"/>
      <c r="X13" s="241"/>
      <c r="Y13" s="241"/>
      <c r="Z13" s="241"/>
      <c r="AA13" s="241"/>
      <c r="AB13" s="241"/>
      <c r="AC13" s="241"/>
      <c r="AD13" s="241"/>
      <c r="AE13" s="241"/>
      <c r="AF13" s="241"/>
      <c r="AG13" s="241"/>
      <c r="AH13" s="241"/>
      <c r="AI13" s="241"/>
      <c r="AJ13" s="241"/>
      <c r="AK13" s="241"/>
      <c r="AL13" s="241"/>
      <c r="AM13" s="241"/>
      <c r="AN13" s="241"/>
      <c r="AO13" s="241"/>
      <c r="AP13" s="241"/>
      <c r="AQ13" s="241"/>
      <c r="AR13" s="241"/>
      <c r="AS13" s="241"/>
      <c r="AT13" s="241"/>
      <c r="AU13" s="241"/>
      <c r="AV13" s="241"/>
      <c r="AW13" s="241"/>
      <c r="AX13" s="241"/>
      <c r="AY13" s="241"/>
      <c r="AZ13" s="241"/>
      <c r="BA13" s="241"/>
      <c r="BB13" s="4"/>
      <c r="BC13" s="4"/>
      <c r="BD13" s="4"/>
      <c r="BE13" s="4"/>
      <c r="BF13" s="4"/>
      <c r="BG13" s="4"/>
      <c r="BH13" s="4"/>
      <c r="BI13" s="4"/>
      <c r="BJ13" s="4"/>
    </row>
    <row r="14" spans="3:62" ht="14.25" x14ac:dyDescent="0.25">
      <c r="C14" s="240" t="s">
        <v>35</v>
      </c>
      <c r="D14" s="240"/>
      <c r="E14" s="240"/>
      <c r="F14" s="240"/>
      <c r="G14" s="240"/>
      <c r="H14" s="240"/>
      <c r="I14" s="240"/>
      <c r="J14" s="240"/>
      <c r="K14" s="240"/>
      <c r="L14" s="240"/>
      <c r="M14" s="240"/>
      <c r="N14" s="240"/>
      <c r="O14" s="240"/>
      <c r="P14" s="240"/>
      <c r="Q14" s="240"/>
      <c r="R14" s="241" t="str">
        <f>'Info General'!R10:BA10</f>
        <v>Vanessa Agudelo Marín</v>
      </c>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241"/>
      <c r="AX14" s="241"/>
      <c r="AY14" s="241"/>
      <c r="AZ14" s="241"/>
      <c r="BA14" s="241"/>
      <c r="BB14" s="4"/>
      <c r="BC14" s="4"/>
      <c r="BD14" s="4"/>
      <c r="BE14" s="4"/>
      <c r="BF14" s="4"/>
      <c r="BG14" s="4"/>
      <c r="BH14" s="4"/>
      <c r="BI14" s="4"/>
      <c r="BJ14" s="4"/>
    </row>
    <row r="15" spans="3:62" ht="14.25" x14ac:dyDescent="0.25">
      <c r="C15" s="240" t="s">
        <v>36</v>
      </c>
      <c r="D15" s="240"/>
      <c r="E15" s="240"/>
      <c r="F15" s="240"/>
      <c r="G15" s="240"/>
      <c r="H15" s="240"/>
      <c r="I15" s="240"/>
      <c r="J15" s="240"/>
      <c r="K15" s="240"/>
      <c r="L15" s="240"/>
      <c r="M15" s="240"/>
      <c r="N15" s="240"/>
      <c r="O15" s="240"/>
      <c r="P15" s="240"/>
      <c r="Q15" s="240"/>
      <c r="R15" s="241" t="str">
        <f>'Info General'!R11:BA11</f>
        <v>Travelocity</v>
      </c>
      <c r="S15" s="241"/>
      <c r="T15" s="241"/>
      <c r="U15" s="241"/>
      <c r="V15" s="241"/>
      <c r="W15" s="241"/>
      <c r="X15" s="241"/>
      <c r="Y15" s="241"/>
      <c r="Z15" s="241"/>
      <c r="AA15" s="241"/>
      <c r="AB15" s="241"/>
      <c r="AC15" s="241"/>
      <c r="AD15" s="241"/>
      <c r="AE15" s="241"/>
      <c r="AF15" s="241"/>
      <c r="AG15" s="241"/>
      <c r="AH15" s="241"/>
      <c r="AI15" s="241"/>
      <c r="AJ15" s="241"/>
      <c r="AK15" s="241"/>
      <c r="AL15" s="241"/>
      <c r="AM15" s="241"/>
      <c r="AN15" s="241"/>
      <c r="AO15" s="241"/>
      <c r="AP15" s="241"/>
      <c r="AQ15" s="241"/>
      <c r="AR15" s="241"/>
      <c r="AS15" s="241"/>
      <c r="AT15" s="241"/>
      <c r="AU15" s="241"/>
      <c r="AV15" s="241"/>
      <c r="AW15" s="241"/>
      <c r="AX15" s="241"/>
      <c r="AY15" s="241"/>
      <c r="AZ15" s="241"/>
      <c r="BA15" s="241"/>
      <c r="BB15" s="4"/>
      <c r="BC15" s="4"/>
      <c r="BD15" s="4"/>
      <c r="BE15" s="4"/>
      <c r="BF15" s="4"/>
      <c r="BG15" s="4"/>
      <c r="BH15" s="4"/>
      <c r="BI15" s="4"/>
      <c r="BJ15" s="4"/>
    </row>
    <row r="16" spans="3:62" ht="14.25" x14ac:dyDescent="0.25">
      <c r="C16" s="240" t="s">
        <v>64</v>
      </c>
      <c r="D16" s="240"/>
      <c r="E16" s="240"/>
      <c r="F16" s="240"/>
      <c r="G16" s="240"/>
      <c r="H16" s="240"/>
      <c r="I16" s="240"/>
      <c r="J16" s="240"/>
      <c r="K16" s="240"/>
      <c r="L16" s="240"/>
      <c r="M16" s="240"/>
      <c r="N16" s="240"/>
      <c r="O16" s="240"/>
      <c r="P16" s="240"/>
      <c r="Q16" s="240"/>
      <c r="R16" s="241" t="str">
        <f>'Info General'!R12:BA12</f>
        <v>N/A</v>
      </c>
      <c r="S16" s="241"/>
      <c r="T16" s="241"/>
      <c r="U16" s="241"/>
      <c r="V16" s="241"/>
      <c r="W16" s="241"/>
      <c r="X16" s="241"/>
      <c r="Y16" s="241"/>
      <c r="Z16" s="241"/>
      <c r="AA16" s="241"/>
      <c r="AB16" s="241"/>
      <c r="AC16" s="241"/>
      <c r="AD16" s="241"/>
      <c r="AE16" s="241"/>
      <c r="AF16" s="241"/>
      <c r="AG16" s="241"/>
      <c r="AH16" s="241"/>
      <c r="AI16" s="241"/>
      <c r="AJ16" s="241"/>
      <c r="AK16" s="241"/>
      <c r="AL16" s="241"/>
      <c r="AM16" s="241"/>
      <c r="AN16" s="241"/>
      <c r="AO16" s="241"/>
      <c r="AP16" s="241"/>
      <c r="AQ16" s="241"/>
      <c r="AR16" s="241"/>
      <c r="AS16" s="241"/>
      <c r="AT16" s="241"/>
      <c r="AU16" s="241"/>
      <c r="AV16" s="241"/>
      <c r="AW16" s="241"/>
      <c r="AX16" s="241"/>
      <c r="AY16" s="241"/>
      <c r="AZ16" s="241"/>
      <c r="BA16" s="241"/>
    </row>
    <row r="17" spans="3:62" ht="14.25" x14ac:dyDescent="0.25">
      <c r="C17" s="240" t="s">
        <v>220</v>
      </c>
      <c r="D17" s="240"/>
      <c r="E17" s="240"/>
      <c r="F17" s="240"/>
      <c r="G17" s="240"/>
      <c r="H17" s="240"/>
      <c r="I17" s="240"/>
      <c r="J17" s="240"/>
      <c r="K17" s="240"/>
      <c r="L17" s="240"/>
      <c r="M17" s="240"/>
      <c r="N17" s="240"/>
      <c r="O17" s="240"/>
      <c r="P17" s="240"/>
      <c r="Q17" s="240"/>
      <c r="R17" s="241" t="str">
        <f>'Info General'!R13:BA13</f>
        <v>N/A</v>
      </c>
      <c r="S17" s="241"/>
      <c r="T17" s="241"/>
      <c r="U17" s="241"/>
      <c r="V17" s="241"/>
      <c r="W17" s="241"/>
      <c r="X17" s="241"/>
      <c r="Y17" s="241"/>
      <c r="Z17" s="241"/>
      <c r="AA17" s="241"/>
      <c r="AB17" s="241"/>
      <c r="AC17" s="241"/>
      <c r="AD17" s="241"/>
      <c r="AE17" s="241"/>
      <c r="AF17" s="241"/>
      <c r="AG17" s="241"/>
      <c r="AH17" s="241"/>
      <c r="AI17" s="241"/>
      <c r="AJ17" s="241"/>
      <c r="AK17" s="241"/>
      <c r="AL17" s="241"/>
      <c r="AM17" s="241"/>
      <c r="AN17" s="241"/>
      <c r="AO17" s="241"/>
      <c r="AP17" s="241"/>
      <c r="AQ17" s="241"/>
      <c r="AR17" s="241"/>
      <c r="AS17" s="241"/>
      <c r="AT17" s="241"/>
      <c r="AU17" s="241"/>
      <c r="AV17" s="241"/>
      <c r="AW17" s="241"/>
      <c r="AX17" s="241"/>
      <c r="AY17" s="241"/>
      <c r="AZ17" s="241"/>
      <c r="BA17" s="241"/>
    </row>
    <row r="18" spans="3:62" ht="14.25" x14ac:dyDescent="0.25">
      <c r="C18" s="240" t="s">
        <v>65</v>
      </c>
      <c r="D18" s="240"/>
      <c r="E18" s="240"/>
      <c r="F18" s="240"/>
      <c r="G18" s="240"/>
      <c r="H18" s="240"/>
      <c r="I18" s="240"/>
      <c r="J18" s="240"/>
      <c r="K18" s="240"/>
      <c r="L18" s="240"/>
      <c r="M18" s="240"/>
      <c r="N18" s="240"/>
      <c r="O18" s="240"/>
      <c r="P18" s="240"/>
      <c r="Q18" s="240"/>
      <c r="R18" s="241" t="str">
        <f>'Info General'!R14:BA14</f>
        <v>N/A</v>
      </c>
      <c r="S18" s="241"/>
      <c r="T18" s="241"/>
      <c r="U18" s="241"/>
      <c r="V18" s="241"/>
      <c r="W18" s="241"/>
      <c r="X18" s="241"/>
      <c r="Y18" s="241"/>
      <c r="Z18" s="241"/>
      <c r="AA18" s="241"/>
      <c r="AB18" s="241"/>
      <c r="AC18" s="241"/>
      <c r="AD18" s="241"/>
      <c r="AE18" s="241"/>
      <c r="AF18" s="241"/>
      <c r="AG18" s="241"/>
      <c r="AH18" s="241"/>
      <c r="AI18" s="241"/>
      <c r="AJ18" s="241"/>
      <c r="AK18" s="241"/>
      <c r="AL18" s="241"/>
      <c r="AM18" s="241"/>
      <c r="AN18" s="241"/>
      <c r="AO18" s="241"/>
      <c r="AP18" s="241"/>
      <c r="AQ18" s="241"/>
      <c r="AR18" s="241"/>
      <c r="AS18" s="241"/>
      <c r="AT18" s="241"/>
      <c r="AU18" s="241"/>
      <c r="AV18" s="241"/>
      <c r="AW18" s="241"/>
      <c r="AX18" s="241"/>
      <c r="AY18" s="241"/>
      <c r="AZ18" s="241"/>
      <c r="BA18" s="241"/>
      <c r="BB18" s="6"/>
      <c r="BC18" s="6"/>
      <c r="BD18" s="6"/>
      <c r="BE18" s="6"/>
      <c r="BF18" s="6"/>
      <c r="BG18" s="6"/>
      <c r="BH18" s="6"/>
      <c r="BI18" s="6"/>
      <c r="BJ18" s="6"/>
    </row>
    <row r="19" spans="3:62" ht="14.25" x14ac:dyDescent="0.25">
      <c r="C19" s="240" t="s">
        <v>37</v>
      </c>
      <c r="D19" s="240"/>
      <c r="E19" s="240"/>
      <c r="F19" s="240"/>
      <c r="G19" s="240"/>
      <c r="H19" s="240"/>
      <c r="I19" s="240"/>
      <c r="J19" s="240"/>
      <c r="K19" s="240"/>
      <c r="L19" s="240"/>
      <c r="M19" s="240"/>
      <c r="N19" s="240"/>
      <c r="O19" s="240"/>
      <c r="P19" s="240"/>
      <c r="Q19" s="240"/>
      <c r="R19" s="420">
        <f>'Info General'!R16:BA16</f>
        <v>44321</v>
      </c>
      <c r="S19" s="420"/>
      <c r="T19" s="420"/>
      <c r="U19" s="420"/>
      <c r="V19" s="420"/>
      <c r="W19" s="420"/>
      <c r="X19" s="420"/>
      <c r="Y19" s="420"/>
      <c r="Z19" s="420"/>
      <c r="AA19" s="420"/>
      <c r="AB19" s="420"/>
      <c r="AC19" s="420"/>
      <c r="AD19" s="420"/>
      <c r="AE19" s="420"/>
      <c r="AF19" s="420"/>
      <c r="AG19" s="420"/>
      <c r="AH19" s="420"/>
      <c r="AI19" s="420"/>
      <c r="AJ19" s="420"/>
      <c r="AK19" s="420"/>
      <c r="AL19" s="420"/>
      <c r="AM19" s="420"/>
      <c r="AN19" s="420"/>
      <c r="AO19" s="420"/>
      <c r="AP19" s="420"/>
      <c r="AQ19" s="420"/>
      <c r="AR19" s="420"/>
      <c r="AS19" s="420"/>
      <c r="AT19" s="420"/>
      <c r="AU19" s="420"/>
      <c r="AV19" s="420"/>
      <c r="AW19" s="420"/>
      <c r="AX19" s="420"/>
      <c r="AY19" s="420"/>
      <c r="AZ19" s="420"/>
      <c r="BA19" s="420"/>
    </row>
    <row r="20" spans="3:62" ht="14.25" x14ac:dyDescent="0.25">
      <c r="C20" s="240" t="s">
        <v>38</v>
      </c>
      <c r="D20" s="240"/>
      <c r="E20" s="240"/>
      <c r="F20" s="240"/>
      <c r="G20" s="240"/>
      <c r="H20" s="240"/>
      <c r="I20" s="240"/>
      <c r="J20" s="240"/>
      <c r="K20" s="240"/>
      <c r="L20" s="240"/>
      <c r="M20" s="240"/>
      <c r="N20" s="240"/>
      <c r="O20" s="240"/>
      <c r="P20" s="240"/>
      <c r="Q20" s="240"/>
      <c r="R20" s="455">
        <v>44324</v>
      </c>
      <c r="S20" s="455"/>
      <c r="T20" s="455"/>
      <c r="U20" s="455"/>
      <c r="V20" s="455"/>
      <c r="W20" s="455"/>
      <c r="X20" s="455"/>
      <c r="Y20" s="455"/>
      <c r="Z20" s="455"/>
      <c r="AA20" s="455"/>
      <c r="AB20" s="455"/>
      <c r="AC20" s="455"/>
      <c r="AD20" s="455"/>
      <c r="AE20" s="455"/>
      <c r="AF20" s="455"/>
      <c r="AG20" s="455"/>
      <c r="AH20" s="455"/>
      <c r="AI20" s="455"/>
      <c r="AJ20" s="455"/>
      <c r="AK20" s="455"/>
      <c r="AL20" s="455"/>
      <c r="AM20" s="455"/>
      <c r="AN20" s="455"/>
      <c r="AO20" s="455"/>
      <c r="AP20" s="455"/>
      <c r="AQ20" s="455"/>
      <c r="AR20" s="455"/>
      <c r="AS20" s="455"/>
      <c r="AT20" s="455"/>
      <c r="AU20" s="455"/>
      <c r="AV20" s="455"/>
      <c r="AW20" s="455"/>
      <c r="AX20" s="455"/>
      <c r="AY20" s="455"/>
      <c r="AZ20" s="455"/>
      <c r="BA20" s="455"/>
    </row>
    <row r="21" spans="3:62" ht="14.25" x14ac:dyDescent="0.25">
      <c r="C21" s="240" t="s">
        <v>112</v>
      </c>
      <c r="D21" s="240"/>
      <c r="E21" s="240"/>
      <c r="F21" s="240"/>
      <c r="G21" s="240"/>
      <c r="H21" s="240"/>
      <c r="I21" s="240"/>
      <c r="J21" s="240"/>
      <c r="K21" s="240"/>
      <c r="L21" s="240"/>
      <c r="M21" s="240"/>
      <c r="N21" s="240"/>
      <c r="O21" s="240"/>
      <c r="P21" s="240"/>
      <c r="Q21" s="240"/>
      <c r="R21" s="451" t="s">
        <v>408</v>
      </c>
      <c r="S21" s="451"/>
      <c r="T21" s="451"/>
      <c r="U21" s="451"/>
      <c r="V21" s="451"/>
      <c r="W21" s="451"/>
      <c r="X21" s="451"/>
      <c r="Y21" s="451"/>
      <c r="Z21" s="451"/>
      <c r="AA21" s="451"/>
      <c r="AB21" s="451"/>
      <c r="AC21" s="451"/>
      <c r="AD21" s="451"/>
      <c r="AE21" s="451"/>
      <c r="AF21" s="451"/>
      <c r="AG21" s="451"/>
      <c r="AH21" s="451"/>
      <c r="AI21" s="451"/>
      <c r="AJ21" s="451"/>
      <c r="AK21" s="451"/>
      <c r="AL21" s="451"/>
      <c r="AM21" s="451"/>
      <c r="AN21" s="451"/>
      <c r="AO21" s="451"/>
      <c r="AP21" s="451"/>
      <c r="AQ21" s="451"/>
      <c r="AR21" s="451"/>
      <c r="AS21" s="451"/>
      <c r="AT21" s="451"/>
      <c r="AU21" s="451"/>
      <c r="AV21" s="451"/>
      <c r="AW21" s="451"/>
      <c r="AX21" s="451"/>
      <c r="AY21" s="451"/>
      <c r="AZ21" s="451"/>
      <c r="BA21" s="451"/>
    </row>
    <row r="22" spans="3:62" ht="14.25" x14ac:dyDescent="0.25">
      <c r="C22" s="106"/>
      <c r="D22" s="106"/>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S22" s="106"/>
      <c r="AT22" s="106"/>
      <c r="AU22" s="106"/>
      <c r="AV22" s="106"/>
      <c r="AW22" s="106"/>
      <c r="AX22" s="106"/>
      <c r="AY22" s="106"/>
      <c r="AZ22" s="106"/>
      <c r="BA22" s="106"/>
    </row>
    <row r="23" spans="3:62" ht="14.25" x14ac:dyDescent="0.25">
      <c r="C23" s="237" t="s">
        <v>111</v>
      </c>
      <c r="D23" s="237"/>
      <c r="E23" s="237"/>
      <c r="F23" s="237"/>
      <c r="G23" s="237"/>
      <c r="H23" s="237"/>
      <c r="I23" s="237"/>
      <c r="J23" s="237"/>
      <c r="K23" s="237"/>
      <c r="L23" s="237"/>
      <c r="M23" s="237"/>
      <c r="N23" s="237"/>
      <c r="O23" s="237"/>
      <c r="P23" s="432"/>
      <c r="Q23" s="232"/>
      <c r="R23" s="232"/>
      <c r="S23" s="232"/>
      <c r="T23" s="232"/>
      <c r="U23" s="232"/>
      <c r="V23" s="232"/>
      <c r="W23" s="232"/>
      <c r="X23" s="232"/>
      <c r="Y23" s="232"/>
      <c r="Z23" s="232"/>
      <c r="AA23" s="232"/>
      <c r="AB23" s="232"/>
      <c r="AC23" s="232"/>
      <c r="AD23" s="232"/>
      <c r="AE23" s="232"/>
      <c r="AF23" s="232"/>
      <c r="AG23" s="232"/>
      <c r="AH23" s="232"/>
      <c r="AI23" s="232"/>
      <c r="AJ23" s="232"/>
      <c r="AK23" s="232"/>
      <c r="AL23" s="232"/>
      <c r="AM23" s="232"/>
      <c r="AN23" s="232"/>
      <c r="AO23" s="232"/>
      <c r="AP23" s="232"/>
      <c r="AQ23" s="232"/>
      <c r="AR23" s="232"/>
      <c r="AS23" s="232"/>
      <c r="AT23" s="232"/>
      <c r="AU23" s="232"/>
      <c r="AV23" s="232"/>
      <c r="AW23" s="232"/>
      <c r="AX23" s="232"/>
      <c r="AY23" s="232"/>
      <c r="AZ23" s="232"/>
      <c r="BA23" s="232"/>
    </row>
    <row r="24" spans="3:62" ht="12.75" customHeight="1" x14ac:dyDescent="0.25">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S24" s="106"/>
      <c r="AT24" s="106"/>
      <c r="AU24" s="106"/>
      <c r="AV24" s="106"/>
      <c r="AW24" s="106"/>
      <c r="AX24" s="106"/>
      <c r="AY24" s="106"/>
      <c r="AZ24" s="106"/>
      <c r="BA24" s="106"/>
    </row>
    <row r="25" spans="3:62" ht="12.75" customHeight="1" x14ac:dyDescent="0.2">
      <c r="C25" s="421"/>
      <c r="D25" s="421"/>
      <c r="E25" s="421"/>
      <c r="F25" s="421"/>
      <c r="G25" s="421"/>
      <c r="H25" s="421"/>
      <c r="I25" s="421"/>
      <c r="J25" s="421"/>
      <c r="K25" s="421"/>
      <c r="L25" s="421"/>
      <c r="M25" s="421"/>
      <c r="N25" s="421"/>
      <c r="O25" s="421"/>
      <c r="P25" s="421"/>
      <c r="Q25" s="421"/>
      <c r="R25" s="421"/>
      <c r="S25" s="421"/>
      <c r="T25" s="421"/>
      <c r="U25" s="421"/>
      <c r="V25" s="421"/>
      <c r="W25" s="421"/>
      <c r="X25" s="421"/>
      <c r="Y25" s="421"/>
      <c r="Z25" s="421"/>
      <c r="AA25" s="421"/>
      <c r="AB25" s="421"/>
      <c r="AC25" s="421"/>
      <c r="AD25" s="421"/>
      <c r="AE25" s="421"/>
      <c r="AF25" s="421"/>
      <c r="AG25" s="421"/>
      <c r="AH25" s="421"/>
      <c r="AI25" s="421"/>
      <c r="AJ25" s="421"/>
      <c r="AK25" s="421"/>
      <c r="AL25" s="421"/>
      <c r="AM25" s="421"/>
      <c r="AN25" s="421"/>
      <c r="AO25" s="421"/>
      <c r="AP25" s="421"/>
      <c r="AQ25" s="421"/>
      <c r="AR25" s="421"/>
      <c r="AS25" s="421"/>
      <c r="AT25" s="421"/>
      <c r="AU25" s="421"/>
      <c r="AV25" s="421"/>
      <c r="AW25" s="421"/>
      <c r="AX25" s="421"/>
      <c r="AY25" s="421"/>
      <c r="AZ25" s="421"/>
      <c r="BA25" s="421"/>
    </row>
    <row r="26" spans="3:62" x14ac:dyDescent="0.2">
      <c r="C26" s="421"/>
      <c r="D26" s="421"/>
      <c r="E26" s="421"/>
      <c r="F26" s="421"/>
      <c r="G26" s="421"/>
      <c r="H26" s="421"/>
      <c r="I26" s="421"/>
      <c r="J26" s="421"/>
      <c r="K26" s="421"/>
      <c r="L26" s="421"/>
      <c r="M26" s="421"/>
      <c r="N26" s="421"/>
      <c r="O26" s="421"/>
      <c r="P26" s="421"/>
      <c r="Q26" s="421"/>
      <c r="R26" s="421"/>
      <c r="S26" s="421"/>
      <c r="T26" s="421"/>
      <c r="U26" s="421"/>
      <c r="V26" s="421"/>
      <c r="W26" s="421"/>
      <c r="X26" s="421"/>
      <c r="Y26" s="421"/>
      <c r="Z26" s="421"/>
      <c r="AA26" s="421"/>
      <c r="AB26" s="421"/>
      <c r="AC26" s="421"/>
      <c r="AD26" s="421"/>
      <c r="AE26" s="421"/>
      <c r="AF26" s="421"/>
      <c r="AG26" s="421"/>
      <c r="AH26" s="421"/>
      <c r="AI26" s="421"/>
      <c r="AJ26" s="421"/>
      <c r="AK26" s="421"/>
      <c r="AL26" s="421"/>
      <c r="AM26" s="421"/>
      <c r="AN26" s="421"/>
      <c r="AO26" s="421"/>
      <c r="AP26" s="421"/>
      <c r="AQ26" s="421"/>
      <c r="AR26" s="421"/>
      <c r="AS26" s="421"/>
      <c r="AT26" s="421"/>
      <c r="AU26" s="421"/>
      <c r="AV26" s="421"/>
      <c r="AW26" s="421"/>
      <c r="AX26" s="421"/>
      <c r="AY26" s="421"/>
      <c r="AZ26" s="421"/>
      <c r="BA26" s="421"/>
      <c r="BB26" s="5"/>
      <c r="BC26" s="5"/>
      <c r="BD26" s="5"/>
      <c r="BE26" s="5"/>
      <c r="BF26" s="5"/>
      <c r="BG26" s="5"/>
    </row>
    <row r="27" spans="3:62" x14ac:dyDescent="0.2">
      <c r="C27" s="421"/>
      <c r="D27" s="421"/>
      <c r="E27" s="421"/>
      <c r="F27" s="421"/>
      <c r="G27" s="421"/>
      <c r="H27" s="421"/>
      <c r="I27" s="421"/>
      <c r="J27" s="421"/>
      <c r="K27" s="421"/>
      <c r="L27" s="421"/>
      <c r="M27" s="421"/>
      <c r="N27" s="421"/>
      <c r="O27" s="421"/>
      <c r="P27" s="421"/>
      <c r="Q27" s="421"/>
      <c r="R27" s="421"/>
      <c r="S27" s="421"/>
      <c r="T27" s="421"/>
      <c r="U27" s="421"/>
      <c r="V27" s="421"/>
      <c r="W27" s="421"/>
      <c r="X27" s="421"/>
      <c r="Y27" s="421"/>
      <c r="Z27" s="421"/>
      <c r="AA27" s="421"/>
      <c r="AB27" s="421"/>
      <c r="AC27" s="421"/>
      <c r="AD27" s="421"/>
      <c r="AE27" s="421"/>
      <c r="AF27" s="421"/>
      <c r="AG27" s="421"/>
      <c r="AH27" s="421"/>
      <c r="AI27" s="421"/>
      <c r="AJ27" s="421"/>
      <c r="AK27" s="421"/>
      <c r="AL27" s="421"/>
      <c r="AM27" s="421"/>
      <c r="AN27" s="421"/>
      <c r="AO27" s="421"/>
      <c r="AP27" s="421"/>
      <c r="AQ27" s="421"/>
      <c r="AR27" s="421"/>
      <c r="AS27" s="421"/>
      <c r="AT27" s="421"/>
      <c r="AU27" s="421"/>
      <c r="AV27" s="421"/>
      <c r="AW27" s="421"/>
      <c r="AX27" s="421"/>
      <c r="AY27" s="421"/>
      <c r="AZ27" s="421"/>
      <c r="BA27" s="421"/>
      <c r="BB27" s="5"/>
      <c r="BC27" s="5"/>
      <c r="BD27" s="5"/>
      <c r="BE27" s="5"/>
      <c r="BF27" s="5"/>
      <c r="BG27" s="5"/>
    </row>
    <row r="28" spans="3:62" x14ac:dyDescent="0.2">
      <c r="C28" s="421"/>
      <c r="D28" s="421"/>
      <c r="E28" s="421"/>
      <c r="F28" s="421"/>
      <c r="G28" s="421"/>
      <c r="H28" s="421"/>
      <c r="I28" s="421"/>
      <c r="J28" s="421"/>
      <c r="K28" s="421"/>
      <c r="L28" s="421"/>
      <c r="M28" s="421"/>
      <c r="N28" s="421"/>
      <c r="O28" s="421"/>
      <c r="P28" s="421"/>
      <c r="Q28" s="421"/>
      <c r="R28" s="421"/>
      <c r="S28" s="421"/>
      <c r="T28" s="421"/>
      <c r="U28" s="421"/>
      <c r="V28" s="421"/>
      <c r="W28" s="421"/>
      <c r="X28" s="421"/>
      <c r="Y28" s="421"/>
      <c r="Z28" s="421"/>
      <c r="AA28" s="421"/>
      <c r="AB28" s="421"/>
      <c r="AC28" s="421"/>
      <c r="AD28" s="421"/>
      <c r="AE28" s="421"/>
      <c r="AF28" s="421"/>
      <c r="AG28" s="421"/>
      <c r="AH28" s="421"/>
      <c r="AI28" s="421"/>
      <c r="AJ28" s="421"/>
      <c r="AK28" s="421"/>
      <c r="AL28" s="421"/>
      <c r="AM28" s="421"/>
      <c r="AN28" s="421"/>
      <c r="AO28" s="421"/>
      <c r="AP28" s="421"/>
      <c r="AQ28" s="421"/>
      <c r="AR28" s="421"/>
      <c r="AS28" s="421"/>
      <c r="AT28" s="421"/>
      <c r="AU28" s="421"/>
      <c r="AV28" s="421"/>
      <c r="AW28" s="421"/>
      <c r="AX28" s="421"/>
      <c r="AY28" s="421"/>
      <c r="AZ28" s="421"/>
      <c r="BA28" s="421"/>
      <c r="BB28" s="5"/>
      <c r="BC28" s="5"/>
      <c r="BD28" s="5"/>
      <c r="BE28" s="5"/>
      <c r="BF28" s="5"/>
      <c r="BG28" s="5"/>
    </row>
    <row r="29" spans="3:62" x14ac:dyDescent="0.2">
      <c r="C29" s="421"/>
      <c r="D29" s="421"/>
      <c r="E29" s="421"/>
      <c r="F29" s="421"/>
      <c r="G29" s="421"/>
      <c r="H29" s="421"/>
      <c r="I29" s="421"/>
      <c r="J29" s="421"/>
      <c r="K29" s="421"/>
      <c r="L29" s="421"/>
      <c r="M29" s="421"/>
      <c r="N29" s="421"/>
      <c r="O29" s="421"/>
      <c r="P29" s="421"/>
      <c r="Q29" s="421"/>
      <c r="R29" s="421"/>
      <c r="S29" s="421"/>
      <c r="T29" s="421"/>
      <c r="U29" s="421"/>
      <c r="V29" s="421"/>
      <c r="W29" s="421"/>
      <c r="X29" s="421"/>
      <c r="Y29" s="421"/>
      <c r="Z29" s="421"/>
      <c r="AA29" s="421"/>
      <c r="AB29" s="421"/>
      <c r="AC29" s="421"/>
      <c r="AD29" s="421"/>
      <c r="AE29" s="421"/>
      <c r="AF29" s="421"/>
      <c r="AG29" s="421"/>
      <c r="AH29" s="421"/>
      <c r="AI29" s="421"/>
      <c r="AJ29" s="421"/>
      <c r="AK29" s="421"/>
      <c r="AL29" s="421"/>
      <c r="AM29" s="421"/>
      <c r="AN29" s="421"/>
      <c r="AO29" s="421"/>
      <c r="AP29" s="421"/>
      <c r="AQ29" s="421"/>
      <c r="AR29" s="421"/>
      <c r="AS29" s="421"/>
      <c r="AT29" s="421"/>
      <c r="AU29" s="421"/>
      <c r="AV29" s="421"/>
      <c r="AW29" s="421"/>
      <c r="AX29" s="421"/>
      <c r="AY29" s="421"/>
      <c r="AZ29" s="421"/>
      <c r="BA29" s="421"/>
    </row>
    <row r="30" spans="3:62" x14ac:dyDescent="0.2">
      <c r="C30" s="421"/>
      <c r="D30" s="421"/>
      <c r="E30" s="421"/>
      <c r="F30" s="421"/>
      <c r="G30" s="421"/>
      <c r="H30" s="421"/>
      <c r="I30" s="421"/>
      <c r="J30" s="421"/>
      <c r="K30" s="421"/>
      <c r="L30" s="421"/>
      <c r="M30" s="421"/>
      <c r="N30" s="421"/>
      <c r="O30" s="421"/>
      <c r="P30" s="421"/>
      <c r="Q30" s="421"/>
      <c r="R30" s="421"/>
      <c r="S30" s="421"/>
      <c r="T30" s="421"/>
      <c r="U30" s="421"/>
      <c r="V30" s="421"/>
      <c r="W30" s="421"/>
      <c r="X30" s="421"/>
      <c r="Y30" s="421"/>
      <c r="Z30" s="421"/>
      <c r="AA30" s="421"/>
      <c r="AB30" s="421"/>
      <c r="AC30" s="421"/>
      <c r="AD30" s="421"/>
      <c r="AE30" s="421"/>
      <c r="AF30" s="421"/>
      <c r="AG30" s="421"/>
      <c r="AH30" s="421"/>
      <c r="AI30" s="421"/>
      <c r="AJ30" s="421"/>
      <c r="AK30" s="421"/>
      <c r="AL30" s="421"/>
      <c r="AM30" s="421"/>
      <c r="AN30" s="421"/>
      <c r="AO30" s="421"/>
      <c r="AP30" s="421"/>
      <c r="AQ30" s="421"/>
      <c r="AR30" s="421"/>
      <c r="AS30" s="421"/>
      <c r="AT30" s="421"/>
      <c r="AU30" s="421"/>
      <c r="AV30" s="421"/>
      <c r="AW30" s="421"/>
      <c r="AX30" s="421"/>
      <c r="AY30" s="421"/>
      <c r="AZ30" s="421"/>
      <c r="BA30" s="421"/>
    </row>
    <row r="31" spans="3:62" x14ac:dyDescent="0.2">
      <c r="C31" s="421"/>
      <c r="D31" s="421"/>
      <c r="E31" s="421"/>
      <c r="F31" s="421"/>
      <c r="G31" s="421"/>
      <c r="H31" s="421"/>
      <c r="I31" s="421"/>
      <c r="J31" s="421"/>
      <c r="K31" s="421"/>
      <c r="L31" s="421"/>
      <c r="M31" s="421"/>
      <c r="N31" s="421"/>
      <c r="O31" s="421"/>
      <c r="P31" s="421"/>
      <c r="Q31" s="421"/>
      <c r="R31" s="421"/>
      <c r="S31" s="421"/>
      <c r="T31" s="421"/>
      <c r="U31" s="421"/>
      <c r="V31" s="421"/>
      <c r="W31" s="421"/>
      <c r="X31" s="421"/>
      <c r="Y31" s="421"/>
      <c r="Z31" s="421"/>
      <c r="AA31" s="421"/>
      <c r="AB31" s="421"/>
      <c r="AC31" s="421"/>
      <c r="AD31" s="421"/>
      <c r="AE31" s="421"/>
      <c r="AF31" s="421"/>
      <c r="AG31" s="421"/>
      <c r="AH31" s="421"/>
      <c r="AI31" s="421"/>
      <c r="AJ31" s="421"/>
      <c r="AK31" s="421"/>
      <c r="AL31" s="421"/>
      <c r="AM31" s="421"/>
      <c r="AN31" s="421"/>
      <c r="AO31" s="421"/>
      <c r="AP31" s="421"/>
      <c r="AQ31" s="421"/>
      <c r="AR31" s="421"/>
      <c r="AS31" s="421"/>
      <c r="AT31" s="421"/>
      <c r="AU31" s="421"/>
      <c r="AV31" s="421"/>
      <c r="AW31" s="421"/>
      <c r="AX31" s="421"/>
      <c r="AY31" s="421"/>
      <c r="AZ31" s="421"/>
      <c r="BA31" s="421"/>
    </row>
    <row r="32" spans="3:62" ht="14.25"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c r="BA32" s="106"/>
    </row>
    <row r="33" spans="1:53" ht="14.25" x14ac:dyDescent="0.25">
      <c r="C33" s="237" t="s">
        <v>113</v>
      </c>
      <c r="D33" s="237"/>
      <c r="E33" s="237"/>
      <c r="F33" s="237"/>
      <c r="G33" s="237"/>
      <c r="H33" s="237"/>
      <c r="I33" s="237"/>
      <c r="J33" s="237"/>
      <c r="K33" s="237"/>
      <c r="L33" s="237"/>
      <c r="M33" s="237"/>
      <c r="N33" s="237"/>
      <c r="O33" s="237"/>
      <c r="P33" s="432"/>
      <c r="Q33" s="232"/>
      <c r="R33" s="232"/>
      <c r="S33" s="232"/>
      <c r="T33" s="232"/>
      <c r="U33" s="232"/>
      <c r="V33" s="232"/>
      <c r="W33" s="232"/>
      <c r="X33" s="232"/>
      <c r="Y33" s="232"/>
      <c r="Z33" s="232"/>
      <c r="AA33" s="232"/>
      <c r="AB33" s="232"/>
      <c r="AC33" s="232"/>
      <c r="AD33" s="232"/>
      <c r="AE33" s="232"/>
      <c r="AF33" s="232"/>
      <c r="AG33" s="232"/>
      <c r="AH33" s="232"/>
      <c r="AI33" s="232"/>
      <c r="AJ33" s="232"/>
      <c r="AK33" s="232"/>
      <c r="AL33" s="232"/>
      <c r="AM33" s="232"/>
      <c r="AN33" s="232"/>
      <c r="AO33" s="232"/>
      <c r="AP33" s="232"/>
      <c r="AQ33" s="232"/>
      <c r="AR33" s="232"/>
      <c r="AS33" s="232"/>
      <c r="AT33" s="232"/>
      <c r="AU33" s="232"/>
      <c r="AV33" s="232"/>
      <c r="AW33" s="232"/>
      <c r="AX33" s="232"/>
      <c r="AY33" s="232"/>
      <c r="AZ33" s="232"/>
      <c r="BA33" s="232"/>
    </row>
    <row r="34" spans="1:53" ht="14.25"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c r="BA34" s="106"/>
    </row>
    <row r="35" spans="1:53" ht="14.25" x14ac:dyDescent="0.25">
      <c r="A35" s="7" t="s">
        <v>162</v>
      </c>
      <c r="C35" s="381" t="s">
        <v>31</v>
      </c>
      <c r="D35" s="381"/>
      <c r="E35" s="381"/>
      <c r="F35" s="381" t="s">
        <v>155</v>
      </c>
      <c r="G35" s="381"/>
      <c r="H35" s="381"/>
      <c r="I35" s="381"/>
      <c r="J35" s="381"/>
      <c r="K35" s="381"/>
      <c r="L35" s="381"/>
      <c r="M35" s="381"/>
      <c r="N35" s="381"/>
      <c r="O35" s="381"/>
      <c r="P35" s="381" t="s">
        <v>33</v>
      </c>
      <c r="Q35" s="381"/>
      <c r="R35" s="381"/>
      <c r="S35" s="381"/>
      <c r="T35" s="381"/>
      <c r="U35" s="381" t="s">
        <v>10</v>
      </c>
      <c r="V35" s="381"/>
      <c r="W35" s="381"/>
      <c r="X35" s="381"/>
      <c r="Y35" s="381"/>
      <c r="Z35" s="381"/>
      <c r="AA35" s="381"/>
      <c r="AB35" s="381"/>
      <c r="AC35" s="381"/>
      <c r="AD35" s="381"/>
      <c r="AE35" s="381"/>
      <c r="AF35" s="381"/>
      <c r="AG35" s="381" t="s">
        <v>229</v>
      </c>
      <c r="AH35" s="381"/>
      <c r="AI35" s="381"/>
      <c r="AJ35" s="381"/>
      <c r="AK35" s="381"/>
      <c r="AL35" s="381"/>
      <c r="AM35" s="381"/>
      <c r="AN35" s="381" t="s">
        <v>230</v>
      </c>
      <c r="AO35" s="381"/>
      <c r="AP35" s="381"/>
      <c r="AQ35" s="381"/>
      <c r="AR35" s="381"/>
      <c r="AS35" s="381"/>
      <c r="AT35" s="381"/>
      <c r="AU35" s="381" t="s">
        <v>192</v>
      </c>
      <c r="AV35" s="381"/>
      <c r="AW35" s="381"/>
      <c r="AX35" s="381"/>
      <c r="AY35" s="381"/>
      <c r="AZ35" s="381"/>
      <c r="BA35" s="381"/>
    </row>
    <row r="36" spans="1:53" ht="14.25" x14ac:dyDescent="0.25">
      <c r="A36" s="7"/>
      <c r="C36" s="445" t="str">
        <f>IF('Info General'!C24:E24&lt;&gt;"",'Info General'!C24:E24,"")</f>
        <v>HU-001</v>
      </c>
      <c r="D36" s="445"/>
      <c r="E36" s="445"/>
      <c r="F36" s="446" t="str">
        <f>IF('Info General'!F24:T24&lt;&gt;"",'Info General'!F24:T24,"")</f>
        <v>Acceso a la plataforma Travelocity</v>
      </c>
      <c r="G36" s="446"/>
      <c r="H36" s="446"/>
      <c r="I36" s="446"/>
      <c r="J36" s="446"/>
      <c r="K36" s="446"/>
      <c r="L36" s="446"/>
      <c r="M36" s="446"/>
      <c r="N36" s="446"/>
      <c r="O36" s="446"/>
      <c r="P36" s="227" t="str">
        <f t="shared" ref="P36" si="0">IF($R$9&lt;&gt;0,$R$9,"")</f>
        <v>Travelocity</v>
      </c>
      <c r="Q36" s="227"/>
      <c r="R36" s="227"/>
      <c r="S36" s="227"/>
      <c r="T36" s="227"/>
      <c r="U36" s="229"/>
      <c r="V36" s="229"/>
      <c r="W36" s="229"/>
      <c r="X36" s="229"/>
      <c r="Y36" s="229"/>
      <c r="Z36" s="229"/>
      <c r="AA36" s="229"/>
      <c r="AB36" s="229"/>
      <c r="AC36" s="229"/>
      <c r="AD36" s="229"/>
      <c r="AE36" s="229"/>
      <c r="AF36" s="229"/>
      <c r="AG36" s="229" t="s">
        <v>294</v>
      </c>
      <c r="AH36" s="229"/>
      <c r="AI36" s="229"/>
      <c r="AJ36" s="229"/>
      <c r="AK36" s="229"/>
      <c r="AL36" s="229"/>
      <c r="AM36" s="229"/>
      <c r="AN36" s="229" t="s">
        <v>294</v>
      </c>
      <c r="AO36" s="229"/>
      <c r="AP36" s="229"/>
      <c r="AQ36" s="229"/>
      <c r="AR36" s="229"/>
      <c r="AS36" s="229"/>
      <c r="AT36" s="229"/>
      <c r="AU36" s="229" t="s">
        <v>294</v>
      </c>
      <c r="AV36" s="229"/>
      <c r="AW36" s="229"/>
      <c r="AX36" s="229"/>
      <c r="AY36" s="229"/>
      <c r="AZ36" s="229"/>
      <c r="BA36" s="229"/>
    </row>
    <row r="37" spans="1:53" ht="14.25" x14ac:dyDescent="0.25">
      <c r="A37" s="7"/>
      <c r="C37" s="445" t="str">
        <f>IF('Info General'!C25:E25&lt;&gt;"",'Info General'!C25:E25,"")</f>
        <v>HU-002</v>
      </c>
      <c r="D37" s="445"/>
      <c r="E37" s="445"/>
      <c r="F37" s="446" t="str">
        <f>IF('Info General'!F25:T25&lt;&gt;"",'Info General'!F25:T25,"")</f>
        <v>Busqueda de Actividades turisticas</v>
      </c>
      <c r="G37" s="446"/>
      <c r="H37" s="446"/>
      <c r="I37" s="446"/>
      <c r="J37" s="446"/>
      <c r="K37" s="446"/>
      <c r="L37" s="446"/>
      <c r="M37" s="446"/>
      <c r="N37" s="446"/>
      <c r="O37" s="446"/>
      <c r="P37" s="227" t="s">
        <v>287</v>
      </c>
      <c r="Q37" s="227"/>
      <c r="R37" s="227"/>
      <c r="S37" s="227"/>
      <c r="T37" s="227"/>
      <c r="U37" s="229"/>
      <c r="V37" s="229"/>
      <c r="W37" s="229"/>
      <c r="X37" s="229"/>
      <c r="Y37" s="229"/>
      <c r="Z37" s="229"/>
      <c r="AA37" s="229"/>
      <c r="AB37" s="229"/>
      <c r="AC37" s="229"/>
      <c r="AD37" s="229"/>
      <c r="AE37" s="229"/>
      <c r="AF37" s="229"/>
      <c r="AG37" s="229" t="s">
        <v>294</v>
      </c>
      <c r="AH37" s="229"/>
      <c r="AI37" s="229"/>
      <c r="AJ37" s="229"/>
      <c r="AK37" s="229"/>
      <c r="AL37" s="229"/>
      <c r="AM37" s="229"/>
      <c r="AN37" s="229" t="s">
        <v>294</v>
      </c>
      <c r="AO37" s="229"/>
      <c r="AP37" s="229"/>
      <c r="AQ37" s="229"/>
      <c r="AR37" s="229"/>
      <c r="AS37" s="229"/>
      <c r="AT37" s="229"/>
      <c r="AU37" s="229" t="s">
        <v>294</v>
      </c>
      <c r="AV37" s="229"/>
      <c r="AW37" s="229"/>
      <c r="AX37" s="229"/>
      <c r="AY37" s="229"/>
      <c r="AZ37" s="229"/>
      <c r="BA37" s="229"/>
    </row>
    <row r="38" spans="1:53" ht="14.25" x14ac:dyDescent="0.25">
      <c r="A38" s="7"/>
      <c r="C38" s="445" t="str">
        <f>IF('Info General'!C26:E26&lt;&gt;"",'Info General'!C26:E26,"")</f>
        <v>HU-003</v>
      </c>
      <c r="D38" s="445"/>
      <c r="E38" s="445"/>
      <c r="F38" s="446" t="str">
        <f>IF('Info General'!F26:T26&lt;&gt;"",'Info General'!F26:T26,"")</f>
        <v>Reserva de autos</v>
      </c>
      <c r="G38" s="446"/>
      <c r="H38" s="446"/>
      <c r="I38" s="446"/>
      <c r="J38" s="446"/>
      <c r="K38" s="446"/>
      <c r="L38" s="446"/>
      <c r="M38" s="446"/>
      <c r="N38" s="446"/>
      <c r="O38" s="446"/>
      <c r="P38" s="227" t="s">
        <v>287</v>
      </c>
      <c r="Q38" s="227"/>
      <c r="R38" s="227"/>
      <c r="S38" s="227"/>
      <c r="T38" s="227"/>
      <c r="U38" s="229"/>
      <c r="V38" s="229"/>
      <c r="W38" s="229"/>
      <c r="X38" s="229"/>
      <c r="Y38" s="229"/>
      <c r="Z38" s="229"/>
      <c r="AA38" s="229"/>
      <c r="AB38" s="229"/>
      <c r="AC38" s="229"/>
      <c r="AD38" s="229"/>
      <c r="AE38" s="229"/>
      <c r="AF38" s="229"/>
      <c r="AG38" s="229" t="s">
        <v>294</v>
      </c>
      <c r="AH38" s="229"/>
      <c r="AI38" s="229"/>
      <c r="AJ38" s="229"/>
      <c r="AK38" s="229"/>
      <c r="AL38" s="229"/>
      <c r="AM38" s="229"/>
      <c r="AN38" s="229" t="s">
        <v>294</v>
      </c>
      <c r="AO38" s="229"/>
      <c r="AP38" s="229"/>
      <c r="AQ38" s="229"/>
      <c r="AR38" s="229"/>
      <c r="AS38" s="229"/>
      <c r="AT38" s="229"/>
      <c r="AU38" s="229" t="s">
        <v>294</v>
      </c>
      <c r="AV38" s="229"/>
      <c r="AW38" s="229"/>
      <c r="AX38" s="229"/>
      <c r="AY38" s="229"/>
      <c r="AZ38" s="229"/>
      <c r="BA38" s="229"/>
    </row>
    <row r="39" spans="1:53" ht="14.25" x14ac:dyDescent="0.25">
      <c r="A39" s="7"/>
      <c r="C39" s="445" t="str">
        <f>IF('Info General'!C27:E27&lt;&gt;"",'Info General'!C27:E27,"")</f>
        <v>HU-004</v>
      </c>
      <c r="D39" s="445"/>
      <c r="E39" s="445"/>
      <c r="F39" s="446" t="str">
        <f>IF('Info General'!F27:T27&lt;&gt;"",'Info General'!F27:T27,"")</f>
        <v>Reserva de hoteles</v>
      </c>
      <c r="G39" s="446"/>
      <c r="H39" s="446"/>
      <c r="I39" s="446"/>
      <c r="J39" s="446"/>
      <c r="K39" s="446"/>
      <c r="L39" s="446"/>
      <c r="M39" s="446"/>
      <c r="N39" s="446"/>
      <c r="O39" s="446"/>
      <c r="P39" s="227" t="s">
        <v>287</v>
      </c>
      <c r="Q39" s="227"/>
      <c r="R39" s="227"/>
      <c r="S39" s="227"/>
      <c r="T39" s="227"/>
      <c r="U39" s="229"/>
      <c r="V39" s="229"/>
      <c r="W39" s="229"/>
      <c r="X39" s="229"/>
      <c r="Y39" s="229"/>
      <c r="Z39" s="229"/>
      <c r="AA39" s="229"/>
      <c r="AB39" s="229"/>
      <c r="AC39" s="229"/>
      <c r="AD39" s="229"/>
      <c r="AE39" s="229"/>
      <c r="AF39" s="229"/>
      <c r="AG39" s="229" t="s">
        <v>294</v>
      </c>
      <c r="AH39" s="229"/>
      <c r="AI39" s="229"/>
      <c r="AJ39" s="229"/>
      <c r="AK39" s="229"/>
      <c r="AL39" s="229"/>
      <c r="AM39" s="229"/>
      <c r="AN39" s="229" t="s">
        <v>294</v>
      </c>
      <c r="AO39" s="229"/>
      <c r="AP39" s="229"/>
      <c r="AQ39" s="229"/>
      <c r="AR39" s="229"/>
      <c r="AS39" s="229"/>
      <c r="AT39" s="229"/>
      <c r="AU39" s="229" t="s">
        <v>294</v>
      </c>
      <c r="AV39" s="229"/>
      <c r="AW39" s="229"/>
      <c r="AX39" s="229"/>
      <c r="AY39" s="229"/>
      <c r="AZ39" s="229"/>
      <c r="BA39" s="229"/>
    </row>
    <row r="40" spans="1:53" ht="14.25" x14ac:dyDescent="0.25">
      <c r="A40" s="7" t="s">
        <v>161</v>
      </c>
      <c r="C40" s="382"/>
      <c r="D40" s="382"/>
      <c r="E40" s="382"/>
      <c r="F40" s="382"/>
      <c r="G40" s="382"/>
      <c r="H40" s="382"/>
      <c r="I40" s="382"/>
      <c r="J40" s="382"/>
      <c r="K40" s="382"/>
      <c r="L40" s="382"/>
      <c r="M40" s="382"/>
      <c r="N40" s="382"/>
      <c r="O40" s="382"/>
      <c r="P40" s="382"/>
      <c r="Q40" s="382"/>
      <c r="R40" s="382"/>
      <c r="S40" s="382"/>
      <c r="T40" s="382"/>
      <c r="U40" s="382"/>
      <c r="V40" s="382"/>
      <c r="W40" s="382"/>
      <c r="X40" s="382"/>
      <c r="Y40" s="382"/>
      <c r="Z40" s="382"/>
      <c r="AA40" s="382"/>
      <c r="AB40" s="382"/>
      <c r="AC40" s="382"/>
      <c r="AD40" s="382"/>
      <c r="AE40" s="382"/>
      <c r="AF40" s="382"/>
      <c r="AG40" s="382"/>
      <c r="AH40" s="382"/>
      <c r="AI40" s="382"/>
      <c r="AJ40" s="382"/>
      <c r="AK40" s="382"/>
      <c r="AL40" s="382"/>
      <c r="AM40" s="382"/>
      <c r="AN40" s="382"/>
      <c r="AO40" s="382"/>
      <c r="AP40" s="382"/>
      <c r="AQ40" s="382"/>
      <c r="AR40" s="382"/>
      <c r="AS40" s="382"/>
      <c r="AT40" s="382"/>
      <c r="AU40" s="382"/>
      <c r="AV40" s="382"/>
      <c r="AW40" s="382"/>
      <c r="AX40" s="382"/>
      <c r="AY40" s="382"/>
      <c r="AZ40" s="382"/>
      <c r="BA40" s="382"/>
    </row>
    <row r="41" spans="1:53" ht="14.25"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c r="AD41" s="106"/>
      <c r="AE41" s="106"/>
      <c r="AF41" s="106"/>
      <c r="AG41" s="106"/>
      <c r="AH41" s="106"/>
      <c r="AI41" s="106"/>
      <c r="AJ41" s="106"/>
      <c r="AK41" s="106"/>
      <c r="AL41" s="106"/>
      <c r="AM41" s="106"/>
      <c r="AN41" s="106"/>
      <c r="AO41" s="106"/>
      <c r="AP41" s="106"/>
      <c r="AQ41" s="106"/>
      <c r="AR41" s="106"/>
      <c r="AS41" s="106"/>
      <c r="AT41" s="106"/>
      <c r="AU41" s="106"/>
      <c r="AV41" s="106"/>
      <c r="AW41" s="106"/>
      <c r="AX41" s="106"/>
      <c r="AY41" s="106"/>
      <c r="AZ41" s="106"/>
      <c r="BA41" s="106"/>
    </row>
    <row r="42" spans="1:53" ht="14.25" x14ac:dyDescent="0.25">
      <c r="C42" s="237" t="s">
        <v>195</v>
      </c>
      <c r="D42" s="237"/>
      <c r="E42" s="237"/>
      <c r="F42" s="237"/>
      <c r="G42" s="237"/>
      <c r="H42" s="237"/>
      <c r="I42" s="237"/>
      <c r="J42" s="237"/>
      <c r="K42" s="237"/>
      <c r="L42" s="237"/>
      <c r="M42" s="237"/>
      <c r="N42" s="237"/>
      <c r="O42" s="237"/>
      <c r="P42" s="237"/>
      <c r="Q42" s="237"/>
      <c r="R42" s="103"/>
      <c r="S42" s="104"/>
      <c r="T42" s="104"/>
      <c r="U42" s="104"/>
      <c r="V42" s="104"/>
      <c r="W42" s="104"/>
      <c r="X42" s="104"/>
      <c r="Y42" s="104"/>
      <c r="Z42" s="104"/>
      <c r="AA42" s="104"/>
      <c r="AB42" s="104"/>
      <c r="AC42" s="104"/>
      <c r="AD42" s="104"/>
      <c r="AE42" s="104"/>
      <c r="AF42" s="104"/>
      <c r="AG42" s="104"/>
      <c r="AH42" s="104"/>
      <c r="AI42" s="104"/>
      <c r="AJ42" s="104"/>
      <c r="AK42" s="104"/>
      <c r="AL42" s="104"/>
      <c r="AM42" s="104"/>
      <c r="AN42" s="104"/>
      <c r="AO42" s="104"/>
      <c r="AP42" s="104"/>
      <c r="AQ42" s="104"/>
      <c r="AR42" s="104"/>
      <c r="AS42" s="104"/>
      <c r="AT42" s="104"/>
      <c r="AU42" s="104"/>
      <c r="AV42" s="104"/>
      <c r="AW42" s="104"/>
      <c r="AX42" s="104"/>
      <c r="AY42" s="104"/>
      <c r="AZ42" s="104"/>
      <c r="BA42" s="104"/>
    </row>
    <row r="43" spans="1:53" ht="14.25" x14ac:dyDescent="0.25">
      <c r="C43" s="106"/>
      <c r="D43" s="106"/>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c r="AI43" s="106"/>
      <c r="AJ43" s="106"/>
      <c r="AK43" s="106"/>
      <c r="AL43" s="106"/>
      <c r="AM43" s="106"/>
      <c r="AN43" s="106"/>
      <c r="AO43" s="106"/>
      <c r="AP43" s="106"/>
      <c r="AQ43" s="106"/>
      <c r="AR43" s="106"/>
      <c r="AS43" s="106"/>
      <c r="AT43" s="106"/>
      <c r="AU43" s="106"/>
      <c r="AV43" s="106"/>
      <c r="AW43" s="106"/>
      <c r="AX43" s="106"/>
      <c r="AY43" s="106"/>
      <c r="AZ43" s="106"/>
      <c r="BA43" s="106"/>
    </row>
    <row r="44" spans="1:53" ht="14.25" x14ac:dyDescent="0.25">
      <c r="C44" s="277" t="s">
        <v>31</v>
      </c>
      <c r="D44" s="277"/>
      <c r="E44" s="277"/>
      <c r="F44" s="277" t="s">
        <v>155</v>
      </c>
      <c r="G44" s="277"/>
      <c r="H44" s="277"/>
      <c r="I44" s="277"/>
      <c r="J44" s="277"/>
      <c r="K44" s="277"/>
      <c r="L44" s="277"/>
      <c r="M44" s="277"/>
      <c r="N44" s="277"/>
      <c r="O44" s="277"/>
      <c r="P44" s="168" t="s">
        <v>114</v>
      </c>
      <c r="Q44" s="168"/>
      <c r="R44" s="168"/>
      <c r="S44" s="168"/>
      <c r="T44" s="168"/>
      <c r="U44" s="168"/>
      <c r="V44" s="168"/>
      <c r="W44" s="168"/>
      <c r="X44" s="168"/>
      <c r="Y44" s="168"/>
      <c r="Z44" s="168"/>
      <c r="AA44" s="168"/>
      <c r="AB44" s="168"/>
      <c r="AC44" s="168"/>
      <c r="AD44" s="168"/>
      <c r="AE44" s="168"/>
      <c r="AF44" s="168"/>
      <c r="AG44" s="168"/>
      <c r="AH44" s="168"/>
      <c r="AI44" s="168"/>
      <c r="AJ44" s="277" t="s">
        <v>19</v>
      </c>
      <c r="AK44" s="277"/>
      <c r="AL44" s="277"/>
      <c r="AM44" s="277"/>
      <c r="AN44" s="277"/>
      <c r="AO44" s="277"/>
      <c r="AP44" s="277"/>
      <c r="AQ44" s="277"/>
      <c r="AR44" s="277"/>
      <c r="AS44" s="277"/>
      <c r="AT44" s="277"/>
      <c r="AU44" s="277"/>
      <c r="AV44" s="277"/>
      <c r="AW44" s="277"/>
      <c r="AX44" s="277"/>
      <c r="AY44" s="277"/>
      <c r="AZ44" s="277"/>
      <c r="BA44" s="277"/>
    </row>
    <row r="45" spans="1:53" ht="14.25" x14ac:dyDescent="0.25">
      <c r="A45" s="7" t="s">
        <v>162</v>
      </c>
      <c r="C45" s="277"/>
      <c r="D45" s="277"/>
      <c r="E45" s="277"/>
      <c r="F45" s="277"/>
      <c r="G45" s="277"/>
      <c r="H45" s="277"/>
      <c r="I45" s="277"/>
      <c r="J45" s="277"/>
      <c r="K45" s="277"/>
      <c r="L45" s="277"/>
      <c r="M45" s="277"/>
      <c r="N45" s="277"/>
      <c r="O45" s="277"/>
      <c r="P45" s="196" t="s">
        <v>115</v>
      </c>
      <c r="Q45" s="196"/>
      <c r="R45" s="196"/>
      <c r="S45" s="196"/>
      <c r="T45" s="196"/>
      <c r="U45" s="196"/>
      <c r="V45" s="196"/>
      <c r="W45" s="196" t="s">
        <v>116</v>
      </c>
      <c r="X45" s="196"/>
      <c r="Y45" s="196"/>
      <c r="Z45" s="196"/>
      <c r="AA45" s="196"/>
      <c r="AB45" s="196"/>
      <c r="AC45" s="196"/>
      <c r="AD45" s="196" t="s">
        <v>218</v>
      </c>
      <c r="AE45" s="196"/>
      <c r="AF45" s="196"/>
      <c r="AG45" s="196"/>
      <c r="AH45" s="196"/>
      <c r="AI45" s="196"/>
      <c r="AJ45" s="277"/>
      <c r="AK45" s="277"/>
      <c r="AL45" s="277"/>
      <c r="AM45" s="277"/>
      <c r="AN45" s="277"/>
      <c r="AO45" s="277"/>
      <c r="AP45" s="277"/>
      <c r="AQ45" s="277"/>
      <c r="AR45" s="277"/>
      <c r="AS45" s="277"/>
      <c r="AT45" s="277"/>
      <c r="AU45" s="277"/>
      <c r="AV45" s="277"/>
      <c r="AW45" s="277"/>
      <c r="AX45" s="277"/>
      <c r="AY45" s="277"/>
      <c r="AZ45" s="277"/>
      <c r="BA45" s="277"/>
    </row>
    <row r="46" spans="1:53" ht="14.25" x14ac:dyDescent="0.25">
      <c r="A46" s="7"/>
      <c r="C46" s="221" t="str">
        <f>IF('Info General'!C24:E24&lt;&gt;"",'Info General'!C24:E24,"")</f>
        <v>HU-001</v>
      </c>
      <c r="D46" s="221"/>
      <c r="E46" s="221"/>
      <c r="F46" s="447" t="str">
        <f>IF('Info General'!F24:T24&lt;&gt;"",'Info General'!F24:T24,"")</f>
        <v>Acceso a la plataforma Travelocity</v>
      </c>
      <c r="G46" s="447"/>
      <c r="H46" s="447"/>
      <c r="I46" s="447"/>
      <c r="J46" s="447"/>
      <c r="K46" s="447"/>
      <c r="L46" s="447"/>
      <c r="M46" s="447"/>
      <c r="N46" s="447"/>
      <c r="O46" s="447"/>
      <c r="P46" s="144" t="s">
        <v>5</v>
      </c>
      <c r="Q46" s="144"/>
      <c r="R46" s="144"/>
      <c r="S46" s="144"/>
      <c r="T46" s="144"/>
      <c r="U46" s="144"/>
      <c r="V46" s="144"/>
      <c r="W46" s="144"/>
      <c r="X46" s="144"/>
      <c r="Y46" s="144"/>
      <c r="Z46" s="144"/>
      <c r="AA46" s="144"/>
      <c r="AB46" s="144"/>
      <c r="AC46" s="144"/>
      <c r="AD46" s="144"/>
      <c r="AE46" s="144"/>
      <c r="AF46" s="144"/>
      <c r="AG46" s="144"/>
      <c r="AH46" s="144"/>
      <c r="AI46" s="144"/>
      <c r="AJ46" s="444"/>
      <c r="AK46" s="444"/>
      <c r="AL46" s="444"/>
      <c r="AM46" s="444"/>
      <c r="AN46" s="444"/>
      <c r="AO46" s="444"/>
      <c r="AP46" s="444"/>
      <c r="AQ46" s="444"/>
      <c r="AR46" s="444"/>
      <c r="AS46" s="444"/>
      <c r="AT46" s="444"/>
      <c r="AU46" s="444"/>
      <c r="AV46" s="444"/>
      <c r="AW46" s="444"/>
      <c r="AX46" s="444"/>
      <c r="AY46" s="444"/>
      <c r="AZ46" s="444"/>
      <c r="BA46" s="444"/>
    </row>
    <row r="47" spans="1:53" ht="14.25" x14ac:dyDescent="0.25">
      <c r="A47" s="7"/>
      <c r="C47" s="221" t="str">
        <f>IF('Info General'!C25:E25&lt;&gt;"",'Info General'!C25:E25,"")</f>
        <v>HU-002</v>
      </c>
      <c r="D47" s="221"/>
      <c r="E47" s="221"/>
      <c r="F47" s="447" t="str">
        <f>IF('Info General'!F25:T25&lt;&gt;"",'Info General'!F25:T25,"")</f>
        <v>Busqueda de Actividades turisticas</v>
      </c>
      <c r="G47" s="447"/>
      <c r="H47" s="447"/>
      <c r="I47" s="447"/>
      <c r="J47" s="447"/>
      <c r="K47" s="447"/>
      <c r="L47" s="447"/>
      <c r="M47" s="447"/>
      <c r="N47" s="447"/>
      <c r="O47" s="447"/>
      <c r="P47" s="144" t="s">
        <v>5</v>
      </c>
      <c r="Q47" s="144"/>
      <c r="R47" s="144"/>
      <c r="S47" s="144"/>
      <c r="T47" s="144"/>
      <c r="U47" s="144"/>
      <c r="V47" s="144"/>
      <c r="W47" s="144"/>
      <c r="X47" s="144"/>
      <c r="Y47" s="144"/>
      <c r="Z47" s="144"/>
      <c r="AA47" s="144"/>
      <c r="AB47" s="144"/>
      <c r="AC47" s="144"/>
      <c r="AD47" s="144"/>
      <c r="AE47" s="144"/>
      <c r="AF47" s="144"/>
      <c r="AG47" s="144"/>
      <c r="AH47" s="144"/>
      <c r="AI47" s="144"/>
      <c r="AJ47" s="444"/>
      <c r="AK47" s="444"/>
      <c r="AL47" s="444"/>
      <c r="AM47" s="444"/>
      <c r="AN47" s="444"/>
      <c r="AO47" s="444"/>
      <c r="AP47" s="444"/>
      <c r="AQ47" s="444"/>
      <c r="AR47" s="444"/>
      <c r="AS47" s="444"/>
      <c r="AT47" s="444"/>
      <c r="AU47" s="444"/>
      <c r="AV47" s="444"/>
      <c r="AW47" s="444"/>
      <c r="AX47" s="444"/>
      <c r="AY47" s="444"/>
      <c r="AZ47" s="444"/>
      <c r="BA47" s="444"/>
    </row>
    <row r="48" spans="1:53" ht="14.25" x14ac:dyDescent="0.25">
      <c r="A48" s="7"/>
      <c r="C48" s="221" t="str">
        <f>IF('Info General'!C26:E26&lt;&gt;"",'Info General'!C26:E26,"")</f>
        <v>HU-003</v>
      </c>
      <c r="D48" s="221"/>
      <c r="E48" s="221"/>
      <c r="F48" s="447" t="str">
        <f>IF('Info General'!F26:T26&lt;&gt;"",'Info General'!F26:T26,"")</f>
        <v>Reserva de autos</v>
      </c>
      <c r="G48" s="447"/>
      <c r="H48" s="447"/>
      <c r="I48" s="447"/>
      <c r="J48" s="447"/>
      <c r="K48" s="447"/>
      <c r="L48" s="447"/>
      <c r="M48" s="447"/>
      <c r="N48" s="447"/>
      <c r="O48" s="447"/>
      <c r="P48" s="144" t="s">
        <v>5</v>
      </c>
      <c r="Q48" s="144"/>
      <c r="R48" s="144"/>
      <c r="S48" s="144"/>
      <c r="T48" s="144"/>
      <c r="U48" s="144"/>
      <c r="V48" s="144"/>
      <c r="W48" s="144"/>
      <c r="X48" s="144"/>
      <c r="Y48" s="144"/>
      <c r="Z48" s="144"/>
      <c r="AA48" s="144"/>
      <c r="AB48" s="144"/>
      <c r="AC48" s="144"/>
      <c r="AD48" s="144"/>
      <c r="AE48" s="144"/>
      <c r="AF48" s="144"/>
      <c r="AG48" s="144"/>
      <c r="AH48" s="144"/>
      <c r="AI48" s="144"/>
      <c r="AJ48" s="444"/>
      <c r="AK48" s="444"/>
      <c r="AL48" s="444"/>
      <c r="AM48" s="444"/>
      <c r="AN48" s="444"/>
      <c r="AO48" s="444"/>
      <c r="AP48" s="444"/>
      <c r="AQ48" s="444"/>
      <c r="AR48" s="444"/>
      <c r="AS48" s="444"/>
      <c r="AT48" s="444"/>
      <c r="AU48" s="444"/>
      <c r="AV48" s="444"/>
      <c r="AW48" s="444"/>
      <c r="AX48" s="444"/>
      <c r="AY48" s="444"/>
      <c r="AZ48" s="444"/>
      <c r="BA48" s="444"/>
    </row>
    <row r="49" spans="1:58" ht="14.25" x14ac:dyDescent="0.25">
      <c r="A49" s="7"/>
      <c r="C49" s="221" t="str">
        <f>IF('Info General'!C27:E27&lt;&gt;"",'Info General'!C27:E27,"")</f>
        <v>HU-004</v>
      </c>
      <c r="D49" s="221"/>
      <c r="E49" s="221"/>
      <c r="F49" s="447" t="str">
        <f>IF('Info General'!F27:T27&lt;&gt;"",'Info General'!F27:T27,"")</f>
        <v>Reserva de hoteles</v>
      </c>
      <c r="G49" s="447"/>
      <c r="H49" s="447"/>
      <c r="I49" s="447"/>
      <c r="J49" s="447"/>
      <c r="K49" s="447"/>
      <c r="L49" s="447"/>
      <c r="M49" s="447"/>
      <c r="N49" s="447"/>
      <c r="O49" s="447"/>
      <c r="P49" s="144" t="s">
        <v>5</v>
      </c>
      <c r="Q49" s="144"/>
      <c r="R49" s="144"/>
      <c r="S49" s="144"/>
      <c r="T49" s="144"/>
      <c r="U49" s="144"/>
      <c r="V49" s="144"/>
      <c r="W49" s="144"/>
      <c r="X49" s="144"/>
      <c r="Y49" s="144"/>
      <c r="Z49" s="144"/>
      <c r="AA49" s="144"/>
      <c r="AB49" s="144"/>
      <c r="AC49" s="144"/>
      <c r="AD49" s="144"/>
      <c r="AE49" s="144"/>
      <c r="AF49" s="144"/>
      <c r="AG49" s="144"/>
      <c r="AH49" s="144"/>
      <c r="AI49" s="144"/>
      <c r="AJ49" s="444"/>
      <c r="AK49" s="444"/>
      <c r="AL49" s="444"/>
      <c r="AM49" s="444"/>
      <c r="AN49" s="444"/>
      <c r="AO49" s="444"/>
      <c r="AP49" s="444"/>
      <c r="AQ49" s="444"/>
      <c r="AR49" s="444"/>
      <c r="AS49" s="444"/>
      <c r="AT49" s="444"/>
      <c r="AU49" s="444"/>
      <c r="AV49" s="444"/>
      <c r="AW49" s="444"/>
      <c r="AX49" s="444"/>
      <c r="AY49" s="444"/>
      <c r="AZ49" s="444"/>
      <c r="BA49" s="444"/>
    </row>
    <row r="50" spans="1:58" ht="14.25" x14ac:dyDescent="0.25">
      <c r="A50" s="7" t="s">
        <v>161</v>
      </c>
      <c r="C50" s="457"/>
      <c r="D50" s="457"/>
      <c r="E50" s="457"/>
      <c r="F50" s="457"/>
      <c r="G50" s="457"/>
      <c r="H50" s="457"/>
      <c r="I50" s="457"/>
      <c r="J50" s="457"/>
      <c r="K50" s="457"/>
      <c r="L50" s="457"/>
      <c r="M50" s="457"/>
      <c r="N50" s="457"/>
      <c r="O50" s="457"/>
      <c r="P50" s="457"/>
      <c r="Q50" s="457"/>
      <c r="R50" s="457"/>
      <c r="S50" s="457"/>
      <c r="T50" s="457"/>
      <c r="U50" s="457"/>
      <c r="V50" s="457"/>
      <c r="W50" s="457"/>
      <c r="X50" s="457"/>
      <c r="Y50" s="457"/>
      <c r="Z50" s="457"/>
      <c r="AA50" s="457"/>
      <c r="AB50" s="457"/>
      <c r="AC50" s="457"/>
      <c r="AD50" s="457"/>
      <c r="AE50" s="457"/>
      <c r="AF50" s="457"/>
      <c r="AG50" s="457"/>
      <c r="AH50" s="457"/>
      <c r="AI50" s="457"/>
      <c r="AJ50" s="457"/>
      <c r="AK50" s="457"/>
      <c r="AL50" s="457"/>
      <c r="AM50" s="457"/>
      <c r="AN50" s="457"/>
      <c r="AO50" s="457"/>
      <c r="AP50" s="457"/>
      <c r="AQ50" s="457"/>
      <c r="AR50" s="457"/>
      <c r="AS50" s="457"/>
      <c r="AT50" s="457"/>
      <c r="AU50" s="457"/>
      <c r="AV50" s="457"/>
      <c r="AW50" s="457"/>
      <c r="AX50" s="457"/>
      <c r="AY50" s="457"/>
      <c r="AZ50" s="457"/>
      <c r="BA50" s="457"/>
    </row>
    <row r="51" spans="1:58" ht="14.25" x14ac:dyDescent="0.25">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c r="AI51" s="106"/>
      <c r="AJ51" s="106"/>
      <c r="AK51" s="106"/>
      <c r="AL51" s="106"/>
      <c r="AM51" s="106"/>
      <c r="AN51" s="106"/>
      <c r="AO51" s="106"/>
      <c r="AP51" s="106"/>
      <c r="AQ51" s="106"/>
      <c r="AR51" s="106"/>
      <c r="AS51" s="106"/>
      <c r="AT51" s="106"/>
      <c r="AU51" s="106"/>
      <c r="AV51" s="106"/>
      <c r="AW51" s="106"/>
      <c r="AX51" s="106"/>
      <c r="AY51" s="106"/>
      <c r="AZ51" s="106"/>
      <c r="BA51" s="106"/>
    </row>
    <row r="52" spans="1:58" ht="14.25" x14ac:dyDescent="0.25">
      <c r="C52" s="237" t="s">
        <v>117</v>
      </c>
      <c r="D52" s="237"/>
      <c r="E52" s="237"/>
      <c r="F52" s="237"/>
      <c r="G52" s="237"/>
      <c r="H52" s="237"/>
      <c r="I52" s="237"/>
      <c r="J52" s="237"/>
      <c r="K52" s="237"/>
      <c r="L52" s="237"/>
      <c r="M52" s="237"/>
      <c r="N52" s="237"/>
      <c r="O52" s="237"/>
      <c r="P52" s="237"/>
      <c r="Q52" s="237"/>
      <c r="R52" s="103"/>
      <c r="S52" s="104"/>
      <c r="T52" s="104"/>
      <c r="U52" s="104"/>
      <c r="V52" s="104"/>
      <c r="W52" s="104"/>
      <c r="X52" s="104"/>
      <c r="Y52" s="104"/>
      <c r="Z52" s="104"/>
      <c r="AA52" s="104"/>
      <c r="AB52" s="104"/>
      <c r="AC52" s="104"/>
      <c r="AD52" s="104"/>
      <c r="AE52" s="104"/>
      <c r="AF52" s="104"/>
      <c r="AG52" s="104"/>
      <c r="AH52" s="104"/>
      <c r="AI52" s="104"/>
      <c r="AJ52" s="104"/>
      <c r="AK52" s="104"/>
      <c r="AL52" s="104"/>
      <c r="AM52" s="104"/>
      <c r="AN52" s="104"/>
      <c r="AO52" s="104"/>
      <c r="AP52" s="104"/>
      <c r="AQ52" s="104"/>
      <c r="AR52" s="104"/>
      <c r="AS52" s="104"/>
      <c r="AT52" s="104"/>
      <c r="AU52" s="104"/>
      <c r="AV52" s="104"/>
      <c r="AW52" s="104"/>
      <c r="AX52" s="104"/>
      <c r="AY52" s="104"/>
      <c r="AZ52" s="104"/>
      <c r="BA52" s="104"/>
    </row>
    <row r="53" spans="1:58" ht="14.25" x14ac:dyDescent="0.25">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row>
    <row r="54" spans="1:58" x14ac:dyDescent="0.2">
      <c r="C54" s="421"/>
      <c r="D54" s="421"/>
      <c r="E54" s="421"/>
      <c r="F54" s="421"/>
      <c r="G54" s="421"/>
      <c r="H54" s="421"/>
      <c r="I54" s="421"/>
      <c r="J54" s="421"/>
      <c r="K54" s="421"/>
      <c r="L54" s="421"/>
      <c r="M54" s="421"/>
      <c r="N54" s="421"/>
      <c r="O54" s="421"/>
      <c r="P54" s="421"/>
      <c r="Q54" s="421"/>
      <c r="R54" s="421"/>
      <c r="S54" s="421"/>
      <c r="T54" s="421"/>
      <c r="U54" s="421"/>
      <c r="V54" s="421"/>
      <c r="W54" s="421"/>
      <c r="X54" s="421"/>
      <c r="Y54" s="421"/>
      <c r="Z54" s="421"/>
      <c r="AA54" s="421"/>
      <c r="AB54" s="421"/>
      <c r="AC54" s="421"/>
      <c r="AD54" s="421"/>
      <c r="AE54" s="421"/>
      <c r="AF54" s="421"/>
      <c r="AG54" s="421"/>
      <c r="AH54" s="421"/>
      <c r="AI54" s="421"/>
      <c r="AJ54" s="421"/>
      <c r="AK54" s="421"/>
      <c r="AL54" s="421"/>
      <c r="AM54" s="421"/>
      <c r="AN54" s="421"/>
      <c r="AO54" s="421"/>
      <c r="AP54" s="421"/>
      <c r="AQ54" s="421"/>
      <c r="AR54" s="421"/>
      <c r="AS54" s="421"/>
      <c r="AT54" s="421"/>
      <c r="AU54" s="421"/>
      <c r="AV54" s="421"/>
      <c r="AW54" s="421"/>
      <c r="AX54" s="421"/>
      <c r="AY54" s="421"/>
      <c r="AZ54" s="421"/>
      <c r="BA54" s="421"/>
    </row>
    <row r="55" spans="1:58" x14ac:dyDescent="0.2">
      <c r="C55" s="421"/>
      <c r="D55" s="421"/>
      <c r="E55" s="421"/>
      <c r="F55" s="421"/>
      <c r="G55" s="421"/>
      <c r="H55" s="421"/>
      <c r="I55" s="421"/>
      <c r="J55" s="421"/>
      <c r="K55" s="421"/>
      <c r="L55" s="421"/>
      <c r="M55" s="421"/>
      <c r="N55" s="421"/>
      <c r="O55" s="421"/>
      <c r="P55" s="421"/>
      <c r="Q55" s="421"/>
      <c r="R55" s="421"/>
      <c r="S55" s="421"/>
      <c r="T55" s="421"/>
      <c r="U55" s="421"/>
      <c r="V55" s="421"/>
      <c r="W55" s="421"/>
      <c r="X55" s="421"/>
      <c r="Y55" s="421"/>
      <c r="Z55" s="421"/>
      <c r="AA55" s="421"/>
      <c r="AB55" s="421"/>
      <c r="AC55" s="421"/>
      <c r="AD55" s="421"/>
      <c r="AE55" s="421"/>
      <c r="AF55" s="421"/>
      <c r="AG55" s="421"/>
      <c r="AH55" s="421"/>
      <c r="AI55" s="421"/>
      <c r="AJ55" s="421"/>
      <c r="AK55" s="421"/>
      <c r="AL55" s="421"/>
      <c r="AM55" s="421"/>
      <c r="AN55" s="421"/>
      <c r="AO55" s="421"/>
      <c r="AP55" s="421"/>
      <c r="AQ55" s="421"/>
      <c r="AR55" s="421"/>
      <c r="AS55" s="421"/>
      <c r="AT55" s="421"/>
      <c r="AU55" s="421"/>
      <c r="AV55" s="421"/>
      <c r="AW55" s="421"/>
      <c r="AX55" s="421"/>
      <c r="AY55" s="421"/>
      <c r="AZ55" s="421"/>
      <c r="BA55" s="421"/>
    </row>
    <row r="56" spans="1:58" x14ac:dyDescent="0.2">
      <c r="C56" s="421"/>
      <c r="D56" s="421"/>
      <c r="E56" s="421"/>
      <c r="F56" s="421"/>
      <c r="G56" s="421"/>
      <c r="H56" s="421"/>
      <c r="I56" s="421"/>
      <c r="J56" s="421"/>
      <c r="K56" s="421"/>
      <c r="L56" s="421"/>
      <c r="M56" s="421"/>
      <c r="N56" s="421"/>
      <c r="O56" s="421"/>
      <c r="P56" s="421"/>
      <c r="Q56" s="421"/>
      <c r="R56" s="421"/>
      <c r="S56" s="421"/>
      <c r="T56" s="421"/>
      <c r="U56" s="421"/>
      <c r="V56" s="421"/>
      <c r="W56" s="421"/>
      <c r="X56" s="421"/>
      <c r="Y56" s="421"/>
      <c r="Z56" s="421"/>
      <c r="AA56" s="421"/>
      <c r="AB56" s="421"/>
      <c r="AC56" s="421"/>
      <c r="AD56" s="421"/>
      <c r="AE56" s="421"/>
      <c r="AF56" s="421"/>
      <c r="AG56" s="421"/>
      <c r="AH56" s="421"/>
      <c r="AI56" s="421"/>
      <c r="AJ56" s="421"/>
      <c r="AK56" s="421"/>
      <c r="AL56" s="421"/>
      <c r="AM56" s="421"/>
      <c r="AN56" s="421"/>
      <c r="AO56" s="421"/>
      <c r="AP56" s="421"/>
      <c r="AQ56" s="421"/>
      <c r="AR56" s="421"/>
      <c r="AS56" s="421"/>
      <c r="AT56" s="421"/>
      <c r="AU56" s="421"/>
      <c r="AV56" s="421"/>
      <c r="AW56" s="421"/>
      <c r="AX56" s="421"/>
      <c r="AY56" s="421"/>
      <c r="AZ56" s="421"/>
      <c r="BA56" s="421"/>
    </row>
    <row r="57" spans="1:58" x14ac:dyDescent="0.2">
      <c r="C57" s="421"/>
      <c r="D57" s="421"/>
      <c r="E57" s="421"/>
      <c r="F57" s="421"/>
      <c r="G57" s="421"/>
      <c r="H57" s="421"/>
      <c r="I57" s="421"/>
      <c r="J57" s="421"/>
      <c r="K57" s="421"/>
      <c r="L57" s="421"/>
      <c r="M57" s="421"/>
      <c r="N57" s="421"/>
      <c r="O57" s="421"/>
      <c r="P57" s="421"/>
      <c r="Q57" s="421"/>
      <c r="R57" s="421"/>
      <c r="S57" s="421"/>
      <c r="T57" s="421"/>
      <c r="U57" s="421"/>
      <c r="V57" s="421"/>
      <c r="W57" s="421"/>
      <c r="X57" s="421"/>
      <c r="Y57" s="421"/>
      <c r="Z57" s="421"/>
      <c r="AA57" s="421"/>
      <c r="AB57" s="421"/>
      <c r="AC57" s="421"/>
      <c r="AD57" s="421"/>
      <c r="AE57" s="421"/>
      <c r="AF57" s="421"/>
      <c r="AG57" s="421"/>
      <c r="AH57" s="421"/>
      <c r="AI57" s="421"/>
      <c r="AJ57" s="421"/>
      <c r="AK57" s="421"/>
      <c r="AL57" s="421"/>
      <c r="AM57" s="421"/>
      <c r="AN57" s="421"/>
      <c r="AO57" s="421"/>
      <c r="AP57" s="421"/>
      <c r="AQ57" s="421"/>
      <c r="AR57" s="421"/>
      <c r="AS57" s="421"/>
      <c r="AT57" s="421"/>
      <c r="AU57" s="421"/>
      <c r="AV57" s="421"/>
      <c r="AW57" s="421"/>
      <c r="AX57" s="421"/>
      <c r="AY57" s="421"/>
      <c r="AZ57" s="421"/>
      <c r="BA57" s="421"/>
    </row>
    <row r="58" spans="1:58" x14ac:dyDescent="0.2">
      <c r="C58" s="421"/>
      <c r="D58" s="421"/>
      <c r="E58" s="421"/>
      <c r="F58" s="421"/>
      <c r="G58" s="421"/>
      <c r="H58" s="421"/>
      <c r="I58" s="421"/>
      <c r="J58" s="421"/>
      <c r="K58" s="421"/>
      <c r="L58" s="421"/>
      <c r="M58" s="421"/>
      <c r="N58" s="421"/>
      <c r="O58" s="421"/>
      <c r="P58" s="421"/>
      <c r="Q58" s="421"/>
      <c r="R58" s="421"/>
      <c r="S58" s="421"/>
      <c r="T58" s="421"/>
      <c r="U58" s="421"/>
      <c r="V58" s="421"/>
      <c r="W58" s="421"/>
      <c r="X58" s="421"/>
      <c r="Y58" s="421"/>
      <c r="Z58" s="421"/>
      <c r="AA58" s="421"/>
      <c r="AB58" s="421"/>
      <c r="AC58" s="421"/>
      <c r="AD58" s="421"/>
      <c r="AE58" s="421"/>
      <c r="AF58" s="421"/>
      <c r="AG58" s="421"/>
      <c r="AH58" s="421"/>
      <c r="AI58" s="421"/>
      <c r="AJ58" s="421"/>
      <c r="AK58" s="421"/>
      <c r="AL58" s="421"/>
      <c r="AM58" s="421"/>
      <c r="AN58" s="421"/>
      <c r="AO58" s="421"/>
      <c r="AP58" s="421"/>
      <c r="AQ58" s="421"/>
      <c r="AR58" s="421"/>
      <c r="AS58" s="421"/>
      <c r="AT58" s="421"/>
      <c r="AU58" s="421"/>
      <c r="AV58" s="421"/>
      <c r="AW58" s="421"/>
      <c r="AX58" s="421"/>
      <c r="AY58" s="421"/>
      <c r="AZ58" s="421"/>
      <c r="BA58" s="421"/>
    </row>
    <row r="59" spans="1:58" x14ac:dyDescent="0.2">
      <c r="C59" s="421"/>
      <c r="D59" s="421"/>
      <c r="E59" s="421"/>
      <c r="F59" s="421"/>
      <c r="G59" s="421"/>
      <c r="H59" s="421"/>
      <c r="I59" s="421"/>
      <c r="J59" s="421"/>
      <c r="K59" s="421"/>
      <c r="L59" s="421"/>
      <c r="M59" s="421"/>
      <c r="N59" s="421"/>
      <c r="O59" s="421"/>
      <c r="P59" s="421"/>
      <c r="Q59" s="421"/>
      <c r="R59" s="421"/>
      <c r="S59" s="421"/>
      <c r="T59" s="421"/>
      <c r="U59" s="421"/>
      <c r="V59" s="421"/>
      <c r="W59" s="421"/>
      <c r="X59" s="421"/>
      <c r="Y59" s="421"/>
      <c r="Z59" s="421"/>
      <c r="AA59" s="421"/>
      <c r="AB59" s="421"/>
      <c r="AC59" s="421"/>
      <c r="AD59" s="421"/>
      <c r="AE59" s="421"/>
      <c r="AF59" s="421"/>
      <c r="AG59" s="421"/>
      <c r="AH59" s="421"/>
      <c r="AI59" s="421"/>
      <c r="AJ59" s="421"/>
      <c r="AK59" s="421"/>
      <c r="AL59" s="421"/>
      <c r="AM59" s="421"/>
      <c r="AN59" s="421"/>
      <c r="AO59" s="421"/>
      <c r="AP59" s="421"/>
      <c r="AQ59" s="421"/>
      <c r="AR59" s="421"/>
      <c r="AS59" s="421"/>
      <c r="AT59" s="421"/>
      <c r="AU59" s="421"/>
      <c r="AV59" s="421"/>
      <c r="AW59" s="421"/>
      <c r="AX59" s="421"/>
      <c r="AY59" s="421"/>
      <c r="AZ59" s="421"/>
      <c r="BA59" s="421"/>
    </row>
    <row r="61" spans="1:58" x14ac:dyDescent="0.2">
      <c r="C61" s="456" t="str">
        <f ca="1">CONCATENATE(BF61,TEXT(BF62,"AAAA"),", ",TEXT(BF62,"dd")," de ",TEXT(BF62,"mmmm")," de ",TEXT(BF62,"yyyy"),BF63)</f>
        <v>Este documento se envía el día 2021, 08 de mayo de yyyy; como constancia del tipo de certificación de la(s) historia(s) de usuario (HU) listadas, luego de superar satisfactoriamente el proceso de control de calidad de software al cual fue(ron) sometida(s).</v>
      </c>
      <c r="D61" s="456"/>
      <c r="E61" s="456"/>
      <c r="F61" s="456"/>
      <c r="G61" s="456"/>
      <c r="H61" s="456"/>
      <c r="I61" s="456"/>
      <c r="J61" s="456"/>
      <c r="K61" s="456"/>
      <c r="L61" s="456"/>
      <c r="M61" s="456"/>
      <c r="N61" s="456"/>
      <c r="O61" s="456"/>
      <c r="P61" s="456"/>
      <c r="Q61" s="456"/>
      <c r="R61" s="456"/>
      <c r="S61" s="456"/>
      <c r="T61" s="456"/>
      <c r="U61" s="456"/>
      <c r="V61" s="456"/>
      <c r="W61" s="456"/>
      <c r="X61" s="456"/>
      <c r="Y61" s="456"/>
      <c r="Z61" s="456"/>
      <c r="AA61" s="456"/>
      <c r="AB61" s="456"/>
      <c r="AC61" s="456"/>
      <c r="AD61" s="456"/>
      <c r="AE61" s="456"/>
      <c r="AF61" s="456"/>
      <c r="AG61" s="456"/>
      <c r="AH61" s="456"/>
      <c r="AI61" s="456"/>
      <c r="AJ61" s="456"/>
      <c r="AK61" s="456"/>
      <c r="AL61" s="456"/>
      <c r="AM61" s="456"/>
      <c r="AN61" s="456"/>
      <c r="AO61" s="456"/>
      <c r="AP61" s="456"/>
      <c r="AQ61" s="456"/>
      <c r="AR61" s="456"/>
      <c r="AS61" s="456"/>
      <c r="AT61" s="456"/>
      <c r="AU61" s="456"/>
      <c r="AV61" s="456"/>
      <c r="AW61" s="456"/>
      <c r="AX61" s="456"/>
      <c r="AY61" s="456"/>
      <c r="AZ61" s="456"/>
      <c r="BA61" s="456"/>
      <c r="BE61" s="11"/>
      <c r="BF61" s="7" t="s">
        <v>168</v>
      </c>
    </row>
    <row r="62" spans="1:58" x14ac:dyDescent="0.2">
      <c r="C62" s="456"/>
      <c r="D62" s="456"/>
      <c r="E62" s="456"/>
      <c r="F62" s="456"/>
      <c r="G62" s="456"/>
      <c r="H62" s="456"/>
      <c r="I62" s="456"/>
      <c r="J62" s="456"/>
      <c r="K62" s="456"/>
      <c r="L62" s="456"/>
      <c r="M62" s="456"/>
      <c r="N62" s="456"/>
      <c r="O62" s="456"/>
      <c r="P62" s="456"/>
      <c r="Q62" s="456"/>
      <c r="R62" s="456"/>
      <c r="S62" s="456"/>
      <c r="T62" s="456"/>
      <c r="U62" s="456"/>
      <c r="V62" s="456"/>
      <c r="W62" s="456"/>
      <c r="X62" s="456"/>
      <c r="Y62" s="456"/>
      <c r="Z62" s="456"/>
      <c r="AA62" s="456"/>
      <c r="AB62" s="456"/>
      <c r="AC62" s="456"/>
      <c r="AD62" s="456"/>
      <c r="AE62" s="456"/>
      <c r="AF62" s="456"/>
      <c r="AG62" s="456"/>
      <c r="AH62" s="456"/>
      <c r="AI62" s="456"/>
      <c r="AJ62" s="456"/>
      <c r="AK62" s="456"/>
      <c r="AL62" s="456"/>
      <c r="AM62" s="456"/>
      <c r="AN62" s="456"/>
      <c r="AO62" s="456"/>
      <c r="AP62" s="456"/>
      <c r="AQ62" s="456"/>
      <c r="AR62" s="456"/>
      <c r="AS62" s="456"/>
      <c r="AT62" s="456"/>
      <c r="AU62" s="456"/>
      <c r="AV62" s="456"/>
      <c r="AW62" s="456"/>
      <c r="AX62" s="456"/>
      <c r="AY62" s="456"/>
      <c r="AZ62" s="456"/>
      <c r="BA62" s="456"/>
      <c r="BE62" s="11"/>
      <c r="BF62" s="28">
        <f ca="1">TODAY()</f>
        <v>44324</v>
      </c>
    </row>
    <row r="63" spans="1:58" x14ac:dyDescent="0.2">
      <c r="BE63" s="11"/>
      <c r="BF63" s="7" t="s">
        <v>194</v>
      </c>
    </row>
    <row r="64" spans="1:58" x14ac:dyDescent="0.2">
      <c r="C64" s="218" t="s">
        <v>118</v>
      </c>
      <c r="D64" s="218"/>
      <c r="E64" s="218"/>
      <c r="F64" s="218"/>
      <c r="G64" s="218"/>
      <c r="H64" s="218"/>
      <c r="I64" s="218"/>
      <c r="J64" s="218"/>
      <c r="K64" s="218"/>
      <c r="L64" s="218"/>
      <c r="M64" s="218"/>
      <c r="N64" s="218"/>
      <c r="O64" s="218"/>
      <c r="P64" s="218"/>
      <c r="Q64" s="218"/>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row>
    <row r="66" spans="3:53" ht="14.25" x14ac:dyDescent="0.25">
      <c r="C66" s="232" t="str">
        <f>R14</f>
        <v>Vanessa Agudelo Marín</v>
      </c>
      <c r="D66" s="232"/>
      <c r="E66" s="232"/>
      <c r="F66" s="232"/>
      <c r="G66" s="232"/>
      <c r="H66" s="232"/>
      <c r="I66" s="232"/>
      <c r="J66" s="232"/>
      <c r="K66" s="232"/>
      <c r="L66" s="232"/>
      <c r="M66" s="232"/>
      <c r="N66" s="232"/>
      <c r="O66" s="232"/>
      <c r="P66" s="232"/>
      <c r="Q66" s="232"/>
      <c r="R66" s="232"/>
      <c r="S66" s="232"/>
      <c r="T66" s="232"/>
      <c r="U66" s="232"/>
      <c r="V66" s="232"/>
      <c r="W66" s="232"/>
      <c r="X66" s="232"/>
      <c r="Y66" s="232"/>
      <c r="Z66" s="232"/>
      <c r="AA66" s="232"/>
      <c r="AB66" s="106"/>
      <c r="AC66" s="232"/>
      <c r="AD66" s="232"/>
      <c r="AE66" s="232"/>
      <c r="AF66" s="232"/>
      <c r="AG66" s="232"/>
      <c r="AH66" s="232"/>
      <c r="AI66" s="232"/>
      <c r="AJ66" s="232"/>
      <c r="AK66" s="232"/>
      <c r="AL66" s="232"/>
      <c r="AM66" s="232"/>
      <c r="AN66" s="232"/>
      <c r="AO66" s="232"/>
      <c r="AP66" s="232"/>
      <c r="AQ66" s="232"/>
      <c r="AR66" s="232"/>
      <c r="AS66" s="232"/>
      <c r="AT66" s="232"/>
      <c r="AU66" s="232"/>
      <c r="AV66" s="232"/>
      <c r="AW66" s="232"/>
      <c r="AX66" s="232"/>
      <c r="AY66" s="232"/>
      <c r="AZ66" s="232"/>
      <c r="BA66" s="232"/>
    </row>
    <row r="67" spans="3:53" x14ac:dyDescent="0.2">
      <c r="C67" s="453" t="s">
        <v>119</v>
      </c>
      <c r="D67" s="453"/>
      <c r="E67" s="453"/>
      <c r="F67" s="453"/>
      <c r="G67" s="453"/>
      <c r="H67" s="453"/>
      <c r="I67" s="453"/>
      <c r="J67" s="453"/>
      <c r="K67" s="453"/>
      <c r="L67" s="453"/>
      <c r="M67" s="453"/>
      <c r="N67" s="453"/>
      <c r="O67" s="453"/>
      <c r="P67" s="454"/>
      <c r="Q67" s="454"/>
      <c r="R67" s="454"/>
      <c r="S67" s="454"/>
      <c r="T67" s="454"/>
      <c r="U67" s="454"/>
      <c r="V67" s="454"/>
      <c r="W67" s="454"/>
      <c r="X67" s="454"/>
      <c r="Y67" s="454"/>
      <c r="Z67" s="454"/>
      <c r="AA67" s="454"/>
      <c r="AC67" s="453" t="s">
        <v>285</v>
      </c>
      <c r="AD67" s="453"/>
      <c r="AE67" s="453"/>
      <c r="AF67" s="453"/>
      <c r="AG67" s="453"/>
      <c r="AH67" s="453"/>
      <c r="AI67" s="453"/>
      <c r="AJ67" s="453"/>
      <c r="AK67" s="453"/>
      <c r="AL67" s="453"/>
      <c r="AM67" s="453"/>
      <c r="AN67" s="453"/>
      <c r="AO67" s="453"/>
      <c r="AP67" s="453"/>
      <c r="AQ67" s="453"/>
      <c r="AR67" s="453"/>
      <c r="AS67" s="453"/>
      <c r="AT67" s="453"/>
      <c r="AU67" s="453"/>
      <c r="AV67" s="453"/>
      <c r="AW67" s="453"/>
      <c r="AX67" s="453"/>
      <c r="AY67" s="453"/>
      <c r="AZ67" s="453"/>
      <c r="BA67" s="453"/>
    </row>
    <row r="68" spans="3:53" x14ac:dyDescent="0.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row>
    <row r="69" spans="3:53" x14ac:dyDescent="0.2">
      <c r="C69" s="452"/>
      <c r="D69" s="452"/>
      <c r="E69" s="452"/>
      <c r="F69" s="452"/>
      <c r="G69" s="452"/>
      <c r="H69" s="452"/>
      <c r="I69" s="452"/>
      <c r="J69" s="452"/>
      <c r="K69" s="452"/>
      <c r="L69" s="452"/>
      <c r="M69" s="452"/>
      <c r="N69" s="452"/>
      <c r="O69" s="452"/>
      <c r="P69" s="452"/>
      <c r="Q69" s="452"/>
      <c r="R69" s="452"/>
      <c r="S69" s="452"/>
      <c r="T69" s="452"/>
      <c r="U69" s="452"/>
      <c r="V69" s="452"/>
      <c r="W69" s="452"/>
      <c r="X69" s="452"/>
      <c r="Y69" s="452"/>
      <c r="Z69" s="452"/>
      <c r="AA69" s="452"/>
      <c r="AB69" s="452"/>
      <c r="AC69" s="452"/>
      <c r="AD69" s="452"/>
      <c r="AE69" s="452"/>
      <c r="AF69" s="452"/>
      <c r="AG69" s="452"/>
      <c r="AH69" s="452"/>
      <c r="AI69" s="452"/>
      <c r="AJ69" s="452"/>
      <c r="AK69" s="452"/>
      <c r="AL69" s="452"/>
      <c r="AM69" s="452"/>
      <c r="AN69" s="452"/>
      <c r="AO69" s="452"/>
      <c r="AP69" s="452"/>
      <c r="AQ69" s="452"/>
      <c r="AR69" s="452"/>
      <c r="AS69" s="452"/>
      <c r="AT69" s="452"/>
      <c r="AU69" s="452"/>
      <c r="AV69" s="452"/>
      <c r="AW69" s="452"/>
      <c r="AX69" s="452"/>
      <c r="AY69" s="452"/>
      <c r="AZ69" s="452"/>
      <c r="BA69" s="452"/>
    </row>
  </sheetData>
  <sheetProtection algorithmName="SHA-512" hashValue="N5s1QXJ8lxKvZEPUgE4vy3fSNY6hPqh6TrPz4ISpK3iSkktd24aaC9KT6xEXbNyQ0PzjKjVowpExy7SdnfgNDQ==" saltValue="S0KXMFxAO5tE0iQdymsDOA==" spinCount="100000" sheet="1" objects="1" scenarios="1" formatCells="0" formatRows="0" selectLockedCells="1" autoFilter="0"/>
  <mergeCells count="116">
    <mergeCell ref="AU36:BA36"/>
    <mergeCell ref="C61:BA62"/>
    <mergeCell ref="C50:BA50"/>
    <mergeCell ref="C52:Q52"/>
    <mergeCell ref="C54:BA59"/>
    <mergeCell ref="C40:BA40"/>
    <mergeCell ref="AJ46:BA46"/>
    <mergeCell ref="F46:O46"/>
    <mergeCell ref="P46:V46"/>
    <mergeCell ref="W46:AC46"/>
    <mergeCell ref="C42:Q42"/>
    <mergeCell ref="C46:E46"/>
    <mergeCell ref="C44:E45"/>
    <mergeCell ref="F44:O45"/>
    <mergeCell ref="AJ44:BA45"/>
    <mergeCell ref="P45:V45"/>
    <mergeCell ref="W45:AC45"/>
    <mergeCell ref="C49:E49"/>
    <mergeCell ref="F49:O49"/>
    <mergeCell ref="P49:V49"/>
    <mergeCell ref="W49:AC49"/>
    <mergeCell ref="AD49:AI49"/>
    <mergeCell ref="AJ49:BA49"/>
    <mergeCell ref="C37:E37"/>
    <mergeCell ref="C17:Q17"/>
    <mergeCell ref="R17:BA17"/>
    <mergeCell ref="C69:BA69"/>
    <mergeCell ref="C64:Q64"/>
    <mergeCell ref="C66:AA66"/>
    <mergeCell ref="AC66:BA66"/>
    <mergeCell ref="AC67:BA67"/>
    <mergeCell ref="C67:O67"/>
    <mergeCell ref="P67:AA67"/>
    <mergeCell ref="C20:Q20"/>
    <mergeCell ref="R20:BA20"/>
    <mergeCell ref="C23:O23"/>
    <mergeCell ref="P23:BA23"/>
    <mergeCell ref="C25:BA31"/>
    <mergeCell ref="C21:Q21"/>
    <mergeCell ref="C36:E36"/>
    <mergeCell ref="F36:O36"/>
    <mergeCell ref="P36:T36"/>
    <mergeCell ref="U36:AF36"/>
    <mergeCell ref="AG36:AM36"/>
    <mergeCell ref="AD45:AI45"/>
    <mergeCell ref="P44:AI44"/>
    <mergeCell ref="AD46:AI46"/>
    <mergeCell ref="AN36:AT36"/>
    <mergeCell ref="F35:O35"/>
    <mergeCell ref="P35:T35"/>
    <mergeCell ref="U35:AF35"/>
    <mergeCell ref="R18:BA18"/>
    <mergeCell ref="R21:BA21"/>
    <mergeCell ref="C33:O33"/>
    <mergeCell ref="P33:BA33"/>
    <mergeCell ref="AG35:AM35"/>
    <mergeCell ref="AN35:AT35"/>
    <mergeCell ref="C2:BA5"/>
    <mergeCell ref="C6:O6"/>
    <mergeCell ref="P6:BA6"/>
    <mergeCell ref="C8:Q8"/>
    <mergeCell ref="R8:BA8"/>
    <mergeCell ref="C9:Q9"/>
    <mergeCell ref="R9:BA9"/>
    <mergeCell ref="C7:BA7"/>
    <mergeCell ref="C16:Q16"/>
    <mergeCell ref="R16:BA16"/>
    <mergeCell ref="C10:Q10"/>
    <mergeCell ref="R10:BA10"/>
    <mergeCell ref="C11:Q11"/>
    <mergeCell ref="C13:Q13"/>
    <mergeCell ref="R13:BA13"/>
    <mergeCell ref="C14:Q14"/>
    <mergeCell ref="R14:BA14"/>
    <mergeCell ref="C15:Q15"/>
    <mergeCell ref="R15:BA15"/>
    <mergeCell ref="R11:BA11"/>
    <mergeCell ref="C12:Q12"/>
    <mergeCell ref="R12:BA12"/>
    <mergeCell ref="AN37:AT37"/>
    <mergeCell ref="AU37:BA37"/>
    <mergeCell ref="C47:E47"/>
    <mergeCell ref="F47:O47"/>
    <mergeCell ref="P47:V47"/>
    <mergeCell ref="W47:AC47"/>
    <mergeCell ref="C39:E39"/>
    <mergeCell ref="F39:O39"/>
    <mergeCell ref="P39:T39"/>
    <mergeCell ref="U39:AF39"/>
    <mergeCell ref="AG39:AM39"/>
    <mergeCell ref="AN39:AT39"/>
    <mergeCell ref="AU39:BA39"/>
    <mergeCell ref="F37:O37"/>
    <mergeCell ref="P37:T37"/>
    <mergeCell ref="U37:AF37"/>
    <mergeCell ref="AG37:AM37"/>
    <mergeCell ref="C19:Q19"/>
    <mergeCell ref="R19:BA19"/>
    <mergeCell ref="C18:Q18"/>
    <mergeCell ref="AU35:BA35"/>
    <mergeCell ref="C35:E35"/>
    <mergeCell ref="AJ48:BA48"/>
    <mergeCell ref="C38:E38"/>
    <mergeCell ref="F38:O38"/>
    <mergeCell ref="P38:T38"/>
    <mergeCell ref="U38:AF38"/>
    <mergeCell ref="AG38:AM38"/>
    <mergeCell ref="AN38:AT38"/>
    <mergeCell ref="AU38:BA38"/>
    <mergeCell ref="C48:E48"/>
    <mergeCell ref="F48:O48"/>
    <mergeCell ref="P48:V48"/>
    <mergeCell ref="W48:AC48"/>
    <mergeCell ref="AD48:AI48"/>
    <mergeCell ref="AD47:AI47"/>
    <mergeCell ref="AJ47:BA47"/>
  </mergeCells>
  <pageMargins left="0.39370078740157483" right="0.39370078740157483" top="0.39370078740157483" bottom="0.39370078740157483" header="0" footer="0"/>
  <pageSetup paperSize="5" scale="70" fitToHeight="0" orientation="portrait" r:id="rId1"/>
  <drawing r:id="rId2"/>
  <legacyDrawing r:id="rId3"/>
  <controls>
    <mc:AlternateContent xmlns:mc="http://schemas.openxmlformats.org/markup-compatibility/2006">
      <mc:Choice Requires="x14">
        <control shapeId="15363" r:id="rId4" name="btnGenerarCertificado">
          <controlPr defaultSize="0" autoLine="0" autoPict="0" r:id="rId5">
            <anchor moveWithCells="1">
              <from>
                <xdr:col>54</xdr:col>
                <xdr:colOff>19050</xdr:colOff>
                <xdr:row>1</xdr:row>
                <xdr:rowOff>114300</xdr:rowOff>
              </from>
              <to>
                <xdr:col>62</xdr:col>
                <xdr:colOff>85725</xdr:colOff>
                <xdr:row>5</xdr:row>
                <xdr:rowOff>19050</xdr:rowOff>
              </to>
            </anchor>
          </controlPr>
        </control>
      </mc:Choice>
      <mc:Fallback>
        <control shapeId="15363" r:id="rId4" name="btnGenerarCertificado"/>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4</vt:i4>
      </vt:variant>
    </vt:vector>
  </HeadingPairs>
  <TitlesOfParts>
    <vt:vector size="17" baseType="lpstr">
      <vt:lpstr>Riesgos y PD</vt:lpstr>
      <vt:lpstr>Tiempos Planeados</vt:lpstr>
      <vt:lpstr>Riesgos</vt:lpstr>
      <vt:lpstr>Listas</vt:lpstr>
      <vt:lpstr>Resumen Planeación</vt:lpstr>
      <vt:lpstr>Info General</vt:lpstr>
      <vt:lpstr>Casos de prueba</vt:lpstr>
      <vt:lpstr>Resumen C.P.</vt:lpstr>
      <vt:lpstr>Incidentes</vt:lpstr>
      <vt:lpstr>Tiempos Ejecutados</vt:lpstr>
      <vt:lpstr>Desfases</vt:lpstr>
      <vt:lpstr>Reporte Seguimiento</vt:lpstr>
      <vt:lpstr>Certificación</vt:lpstr>
      <vt:lpstr>Certificación!Área_de_impresión</vt:lpstr>
      <vt:lpstr>'Reporte Seguimiento'!Área_de_impresión</vt:lpstr>
      <vt:lpstr>'Resumen Planeación'!Área_de_impresión</vt:lpstr>
      <vt:lpstr>'Reporte Seguimiento'!Títulos_a_imprimir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Esteban Garcia Hurtado</dc:creator>
  <cp:lastModifiedBy>Vanessa Agudelo Marin</cp:lastModifiedBy>
  <cp:lastPrinted>2019-03-06T19:19:43Z</cp:lastPrinted>
  <dcterms:created xsi:type="dcterms:W3CDTF">2018-05-23T20:25:29Z</dcterms:created>
  <dcterms:modified xsi:type="dcterms:W3CDTF">2021-05-08T06:24:04Z</dcterms:modified>
</cp:coreProperties>
</file>